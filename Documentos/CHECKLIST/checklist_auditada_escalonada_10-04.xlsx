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089A27F7-6C02-40AA-9E5B-7879BA7BC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state="hidden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<sst xmlns="http://schemas.openxmlformats.org/spreadsheetml/2006/main" count="326" uniqueCount="136">
  <si>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</si>
  <si>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</si>
  <si>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</si>
  <si>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</si>
  <si>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</si>
  <si>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</si>
  <si>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</si>
  <si>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</si>
  <si>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</si>
  <si>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</si>
  <si>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</si>
  <si>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</si>
  <si>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</si>
  <si>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</si>
  <si>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</si>
  <si>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</si>
  <si>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</si>
  <si>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</si>
  <si>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</si>
  <si>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</si>
  <si>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aberto</t>
  </si>
  <si>
    <t>Foi inserido o nome do Produto de Software?</t>
  </si>
  <si>
    <t>Sim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</si>
  <si>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</si>
  <si>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</si>
  <si>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</si>
  <si>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no artefato 1, Preencher os campos vazios da tabela, visto que e necessario as 3 descricoes dos 3 objetivos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</si>
  <si>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</si>
  <si>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</si>
  <si>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</si>
  <si>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</si>
  <si>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preencher o campo (não e) na tabela (Quadro “é – não é – faz – não faz”), no artefato 2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</si>
  <si>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</si>
  <si>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</si>
  <si>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</si>
  <si>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</si>
  <si>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media</t>
  </si>
  <si>
    <t>NO artefato 3, Na tabela ( Quadro “Visão de Produto”) preencher o campo NOME Do PRODUTO .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</si>
  <si>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</si>
  <si>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</si>
  <si>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</si>
  <si>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</si>
  <si>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</si>
  <si>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</si>
  <si>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</si>
  <si>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</si>
  <si>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</si>
  <si>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</si>
  <si>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</si>
  <si>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</si>
  <si>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</si>
  <si>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</si>
  <si>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</si>
  <si>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</si>
  <si>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artefato 5, Nas tabelas ("HISTORIA DO USUARIO"),na HISTÓRIA DO USUÁRIO 1 - PBI: Fazer cadastro no sistema preencher o campo COMO .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</si>
  <si>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</si>
  <si>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</si>
  <si>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</si>
  <si>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</si>
  <si>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</si>
  <si>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</si>
  <si>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</si>
  <si>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</si>
  <si>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</si>
  <si>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</si>
  <si>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</si>
  <si>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</si>
  <si>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</si>
  <si>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</si>
  <si>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</si>
  <si>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</si>
  <si>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</si>
  <si>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</si>
  <si>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</si>
  <si>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</si>
  <si>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</si>
  <si>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</si>
  <si>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</si>
  <si>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</si>
  <si>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</si>
  <si>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</si>
  <si>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</si>
  <si>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</si>
  <si>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</si>
  <si>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</si>
  <si>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</si>
  <si>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</si>
  <si>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</si>
  <si>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</si>
  <si>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</si>
  <si>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</si>
  <si>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</si>
  <si>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</si>
  <si>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</si>
  <si>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</si>
  <si>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</si>
  <si>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</si>
  <si>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</si>
  <si>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</si>
  <si>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Observacoes</t>
  </si>
  <si>
    <t>...</t>
  </si>
  <si>
    <t>André - Maria - Vitor - Yasmin</t>
  </si>
  <si>
    <t xml:space="preserve">Na tabela (Quadro “é – não é – faz – não faz”) o campo ( Não É) foi preenchido?				
				</t>
  </si>
  <si>
    <t>Baixa - 30 minutos</t>
  </si>
  <si>
    <t>alta</t>
  </si>
  <si>
    <t>media - 1 horas</t>
  </si>
  <si>
    <t>RELAÇÃO DE ARTEFATOS DE ESPECIFICAÇÃO DO PROJETO vai</t>
  </si>
  <si>
    <t>Preencher o campo (não e) na tabela (Quadro “é – não é – faz – não faz”), no artefato 2</t>
  </si>
  <si>
    <t>ANDRE - MARIA - VITOR, YASMIM</t>
  </si>
  <si>
    <t xml:space="preserve">"RELAÇÃO DE ARTEFATOS ESPECIFICAÇÃO DO PROJETO Vai"							</t>
  </si>
  <si>
    <t>Projeto</t>
  </si>
  <si>
    <t>Numero escalonamento</t>
  </si>
  <si>
    <t>Reponsavel por QA</t>
  </si>
  <si>
    <t>EQUIPE VITOR</t>
  </si>
  <si>
    <t>Data da 1° Solicitação</t>
  </si>
  <si>
    <t>LUCAS OLIVEIRA DE SOUZA</t>
  </si>
  <si>
    <t>Média - 1 Hora</t>
  </si>
  <si>
    <t>data da 1 solicitacao</t>
  </si>
  <si>
    <t>Lucas Oliveira -Mateus Domingues - Matheus Horning - Victor Gustavo</t>
  </si>
  <si>
    <t>Lucas Oliveira - Mateus Domingues - Matheus Horning - Victor Gustavo</t>
  </si>
  <si>
    <t>BAIXA - 30 minutos</t>
  </si>
  <si>
    <t>10/4/2026 - 12:04</t>
  </si>
  <si>
    <t>ALTA - 1 Dia</t>
  </si>
  <si>
    <t>10/4/2026 - 12:34</t>
  </si>
  <si>
    <t>10/04/2026 - 12:05</t>
  </si>
  <si>
    <t>10/04/2026 - 13:05</t>
  </si>
  <si>
    <t>4/10/2026 - 12:08</t>
  </si>
  <si>
    <t>4/10/2026 - 12:38</t>
  </si>
  <si>
    <t>Nao</t>
  </si>
  <si>
    <t>Professora Kelly</t>
  </si>
  <si>
    <t>professora kelly</t>
  </si>
  <si>
    <t>professroa kelly</t>
  </si>
  <si>
    <t>10/4/2026 - 13:05</t>
  </si>
  <si>
    <t>10/04/2026 - 13:35</t>
  </si>
  <si>
    <t>4/10/2026 - 13:06</t>
  </si>
  <si>
    <t>escalonado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</si>
</sst>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22" fontId="0" fillId="0" borderId="4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zoomScale="70" zoomScaleNormal="70" workbookViewId="0">
      <selection activeCell="N25" sqref="N25"/>
    </sheetView>
  </sheetViews>
  <sheetFormatPr defaultColWidth="8.88671875" defaultRowHeight="14.4" x14ac:dyDescent="0.3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1.664062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 x14ac:dyDescent="0.35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 x14ac:dyDescent="0.3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 t="s">
        <v>128</v>
      </c>
      <c r="L2" s="107">
        <v>46122.543055555558</v>
      </c>
      <c r="M2" s="6"/>
      <c r="N2" s="6" t="s">
        <v>135</v>
      </c>
    </row>
    <row r="3" spans="1:14" ht="28.8" hidden="1" x14ac:dyDescent="0.3">
      <c r="A3" s="9">
        <v>2</v>
      </c>
      <c r="B3" s="7" t="s">
        <v>14</v>
      </c>
      <c r="C3" s="8" t="s">
        <v>21</v>
      </c>
      <c r="D3" s="6" t="s">
        <v>22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 x14ac:dyDescent="0.3">
      <c r="A4" s="9">
        <v>3</v>
      </c>
      <c r="B4" s="7" t="s">
        <v>23</v>
      </c>
      <c r="C4" s="8" t="s">
        <v>24</v>
      </c>
      <c r="D4" s="6" t="s">
        <v>22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 x14ac:dyDescent="0.3">
      <c r="A5" s="9">
        <v>4</v>
      </c>
      <c r="B5" s="7" t="s">
        <v>23</v>
      </c>
      <c r="C5" s="13" t="s">
        <v>25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36</v>
      </c>
      <c r="H5" s="34">
        <v>46122.543055555558</v>
      </c>
      <c r="I5" s="9" t="s">
        <v>18</v>
      </c>
      <c r="J5" s="46" t="s">
        <v>26</v>
      </c>
      <c r="K5" s="6" t="s">
        <v>128</v>
      </c>
      <c r="L5" s="107">
        <v>46122.564583333333</v>
      </c>
      <c r="M5" s="6"/>
      <c r="N5" s="6" t="s">
        <v>135</v>
      </c>
    </row>
    <row r="6" spans="1:14" ht="43.2" hidden="1" x14ac:dyDescent="0.3">
      <c r="A6" s="9">
        <v>5</v>
      </c>
      <c r="B6" s="7" t="s">
        <v>27</v>
      </c>
      <c r="C6" s="8" t="s">
        <v>28</v>
      </c>
      <c r="D6" s="6" t="s">
        <v>22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 x14ac:dyDescent="0.3">
      <c r="A7" s="9">
        <v>6</v>
      </c>
      <c r="B7" s="7" t="s">
        <v>27</v>
      </c>
      <c r="C7" s="8" t="s">
        <v>29</v>
      </c>
      <c r="D7" s="6" t="s">
        <v>22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 x14ac:dyDescent="0.3">
      <c r="A8" s="9">
        <v>7</v>
      </c>
      <c r="B8" s="7" t="s">
        <v>27</v>
      </c>
      <c r="C8" s="8" t="s">
        <v>30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123</v>
      </c>
      <c r="I8" s="9" t="s">
        <v>18</v>
      </c>
      <c r="J8" s="46" t="s">
        <v>31</v>
      </c>
      <c r="K8" s="6" t="s">
        <v>128</v>
      </c>
      <c r="L8" s="6" t="s">
        <v>132</v>
      </c>
      <c r="M8" s="6"/>
      <c r="N8" s="6" t="s">
        <v>135</v>
      </c>
    </row>
    <row r="9" spans="1:14" ht="43.2" hidden="1" x14ac:dyDescent="0.3">
      <c r="A9" s="9">
        <v>8</v>
      </c>
      <c r="B9" s="7" t="s">
        <v>27</v>
      </c>
      <c r="C9" s="8" t="s">
        <v>32</v>
      </c>
      <c r="D9" s="6" t="s">
        <v>22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 x14ac:dyDescent="0.3">
      <c r="A10" s="9">
        <v>9</v>
      </c>
      <c r="B10" s="7" t="s">
        <v>27</v>
      </c>
      <c r="C10" s="8" t="s">
        <v>33</v>
      </c>
      <c r="D10" s="6" t="s">
        <v>22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 x14ac:dyDescent="0.3">
      <c r="A11" s="9">
        <v>10</v>
      </c>
      <c r="B11" s="7" t="s">
        <v>34</v>
      </c>
      <c r="C11" s="8" t="s">
        <v>35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36</v>
      </c>
      <c r="H11" s="49" t="s">
        <v>125</v>
      </c>
      <c r="I11" s="9" t="s">
        <v>18</v>
      </c>
      <c r="J11" s="46" t="s">
        <v>37</v>
      </c>
      <c r="K11" s="6" t="s">
        <v>128</v>
      </c>
      <c r="L11" s="6" t="s">
        <v>133</v>
      </c>
      <c r="M11" s="6"/>
      <c r="N11" s="6" t="s">
        <v>135</v>
      </c>
    </row>
    <row r="12" spans="1:14" ht="43.2" hidden="1" x14ac:dyDescent="0.3">
      <c r="A12" s="9">
        <v>11</v>
      </c>
      <c r="B12" s="7" t="s">
        <v>34</v>
      </c>
      <c r="C12" s="8" t="s">
        <v>38</v>
      </c>
      <c r="D12" s="6" t="s">
        <v>22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 x14ac:dyDescent="0.3">
      <c r="A13" s="9">
        <v>12</v>
      </c>
      <c r="B13" s="7" t="s">
        <v>34</v>
      </c>
      <c r="C13" s="8" t="s">
        <v>39</v>
      </c>
      <c r="D13" s="6" t="s">
        <v>22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 x14ac:dyDescent="0.3">
      <c r="A14" s="9">
        <v>13</v>
      </c>
      <c r="B14" s="7" t="s">
        <v>34</v>
      </c>
      <c r="C14" s="8" t="s">
        <v>40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104</v>
      </c>
      <c r="H14" s="36">
        <v>46126.504861111112</v>
      </c>
      <c r="I14" s="9" t="s">
        <v>18</v>
      </c>
      <c r="J14" s="46" t="s">
        <v>41</v>
      </c>
      <c r="K14" s="6"/>
      <c r="L14" s="6"/>
      <c r="M14" s="6"/>
      <c r="N14" s="6" t="s">
        <v>20</v>
      </c>
    </row>
    <row r="15" spans="1:14" ht="43.2" hidden="1" x14ac:dyDescent="0.3">
      <c r="A15" s="9">
        <v>14</v>
      </c>
      <c r="B15" s="7" t="s">
        <v>34</v>
      </c>
      <c r="C15" s="8" t="s">
        <v>42</v>
      </c>
      <c r="D15" s="6" t="s">
        <v>22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 x14ac:dyDescent="0.3">
      <c r="A16" s="9">
        <v>15</v>
      </c>
      <c r="B16" s="7" t="s">
        <v>34</v>
      </c>
      <c r="C16" s="8" t="s">
        <v>43</v>
      </c>
      <c r="D16" s="6" t="s">
        <v>22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 x14ac:dyDescent="0.3">
      <c r="A17" s="9">
        <v>16</v>
      </c>
      <c r="B17" s="7" t="s">
        <v>44</v>
      </c>
      <c r="C17" s="8" t="s">
        <v>45</v>
      </c>
      <c r="D17" s="6" t="s">
        <v>22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 x14ac:dyDescent="0.3">
      <c r="A18" s="9">
        <v>17</v>
      </c>
      <c r="B18" s="7" t="s">
        <v>44</v>
      </c>
      <c r="C18" s="8" t="s">
        <v>46</v>
      </c>
      <c r="D18" s="6" t="s">
        <v>22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 x14ac:dyDescent="0.3">
      <c r="A19" s="9">
        <v>18</v>
      </c>
      <c r="B19" s="7" t="s">
        <v>44</v>
      </c>
      <c r="C19" s="8" t="s">
        <v>47</v>
      </c>
      <c r="D19" s="6" t="s">
        <v>22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 x14ac:dyDescent="0.3">
      <c r="A20" s="9">
        <v>19</v>
      </c>
      <c r="B20" s="7" t="s">
        <v>44</v>
      </c>
      <c r="C20" s="8" t="s">
        <v>48</v>
      </c>
      <c r="D20" s="6" t="s">
        <v>22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 x14ac:dyDescent="0.3">
      <c r="A21" s="9">
        <v>20</v>
      </c>
      <c r="B21" s="7" t="s">
        <v>44</v>
      </c>
      <c r="C21" s="8" t="s">
        <v>49</v>
      </c>
      <c r="D21" s="6" t="s">
        <v>22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 x14ac:dyDescent="0.3">
      <c r="A22" s="9">
        <v>21</v>
      </c>
      <c r="B22" s="7" t="s">
        <v>44</v>
      </c>
      <c r="C22" s="8" t="s">
        <v>50</v>
      </c>
      <c r="D22" s="6" t="s">
        <v>22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 x14ac:dyDescent="0.3">
      <c r="A23" s="9">
        <v>22</v>
      </c>
      <c r="B23" s="7" t="s">
        <v>51</v>
      </c>
      <c r="C23" s="13" t="s">
        <v>52</v>
      </c>
      <c r="D23" s="6" t="s">
        <v>22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 x14ac:dyDescent="0.3">
      <c r="A24" s="9">
        <v>23</v>
      </c>
      <c r="B24" s="7" t="s">
        <v>51</v>
      </c>
      <c r="C24" s="8" t="s">
        <v>53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127</v>
      </c>
      <c r="I24" s="9" t="s">
        <v>18</v>
      </c>
      <c r="J24" s="46" t="s">
        <v>54</v>
      </c>
      <c r="K24" s="6" t="s">
        <v>128</v>
      </c>
      <c r="L24" s="6" t="s">
        <v>134</v>
      </c>
      <c r="M24" s="6"/>
      <c r="N24" s="6" t="s">
        <v>135</v>
      </c>
    </row>
    <row r="25" spans="1:14" ht="115.2" x14ac:dyDescent="0.3">
      <c r="A25" s="9">
        <v>24</v>
      </c>
      <c r="B25" s="7" t="s">
        <v>51</v>
      </c>
      <c r="C25" s="8" t="s">
        <v>55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56</v>
      </c>
      <c r="K25" s="6" t="s">
        <v>128</v>
      </c>
      <c r="L25" s="107">
        <v>46122.546527777777</v>
      </c>
      <c r="M25" s="6"/>
      <c r="N25" s="6" t="s">
        <v>135</v>
      </c>
    </row>
    <row r="26" spans="1:14" ht="43.2" hidden="1" x14ac:dyDescent="0.3">
      <c r="A26" s="9">
        <v>25</v>
      </c>
      <c r="B26" s="7" t="s">
        <v>51</v>
      </c>
      <c r="C26" s="8" t="s">
        <v>57</v>
      </c>
      <c r="D26" s="6" t="s">
        <v>22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43.2" hidden="1" x14ac:dyDescent="0.3">
      <c r="A27" s="9">
        <v>26</v>
      </c>
      <c r="B27" s="7" t="s">
        <v>51</v>
      </c>
      <c r="C27" s="25" t="s">
        <v>58</v>
      </c>
      <c r="D27" s="6" t="s">
        <v>22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 x14ac:dyDescent="0.3">
      <c r="A28" s="9">
        <v>27</v>
      </c>
      <c r="B28" s="7" t="s">
        <v>51</v>
      </c>
      <c r="C28" s="13" t="s">
        <v>59</v>
      </c>
      <c r="D28" s="6" t="s">
        <v>22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 x14ac:dyDescent="0.3">
      <c r="A29" s="9">
        <v>28</v>
      </c>
      <c r="B29" s="7" t="s">
        <v>51</v>
      </c>
      <c r="C29" s="13" t="s">
        <v>60</v>
      </c>
      <c r="D29" s="6" t="s">
        <v>22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 x14ac:dyDescent="0.3">
      <c r="A30" s="9">
        <v>29</v>
      </c>
      <c r="B30" s="7" t="s">
        <v>61</v>
      </c>
      <c r="C30" s="8" t="s">
        <v>62</v>
      </c>
      <c r="D30" s="6" t="s">
        <v>22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 x14ac:dyDescent="0.3">
      <c r="A31" s="9">
        <v>30</v>
      </c>
      <c r="B31" s="7" t="s">
        <v>63</v>
      </c>
      <c r="C31" s="13" t="s">
        <v>64</v>
      </c>
      <c r="D31" s="6" t="s">
        <v>65</v>
      </c>
      <c r="E31" s="6" t="s">
        <v>66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 x14ac:dyDescent="0.3">
      <c r="A32" s="9">
        <v>31</v>
      </c>
      <c r="B32" s="7" t="s">
        <v>67</v>
      </c>
      <c r="C32" s="8" t="s">
        <v>68</v>
      </c>
      <c r="D32" s="6" t="s">
        <v>22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 x14ac:dyDescent="0.3">
      <c r="A33" s="9">
        <v>32</v>
      </c>
      <c r="B33" s="7" t="s">
        <v>69</v>
      </c>
      <c r="C33" s="8" t="s">
        <v>70</v>
      </c>
      <c r="D33" s="6" t="s">
        <v>22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 x14ac:dyDescent="0.3">
      <c r="J34" s="3"/>
    </row>
    <row r="35" spans="1:14" hidden="1" x14ac:dyDescent="0.3">
      <c r="J35" s="3"/>
    </row>
    <row r="36" spans="1:14" hidden="1" x14ac:dyDescent="0.3">
      <c r="B36"/>
      <c r="C36" s="21" t="s">
        <v>71</v>
      </c>
      <c r="D36" s="21"/>
      <c r="E36" s="56">
        <v>0</v>
      </c>
      <c r="F36" s="56"/>
      <c r="G36" s="56"/>
      <c r="H36" s="57" t="s">
        <v>72</v>
      </c>
      <c r="I36" s="57"/>
      <c r="J36" s="14" t="s">
        <v>73</v>
      </c>
    </row>
    <row r="37" spans="1:14" hidden="1" x14ac:dyDescent="0.3">
      <c r="B37"/>
      <c r="C37" s="58" t="s">
        <v>74</v>
      </c>
      <c r="D37" s="58"/>
      <c r="E37" s="15">
        <f>COUNTIF($D$2:$D$33,"Não se Aplica*")</f>
        <v>1</v>
      </c>
      <c r="F37" s="40"/>
      <c r="G37" s="16">
        <f>E37</f>
        <v>1</v>
      </c>
      <c r="H37" s="56">
        <f>G37</f>
        <v>1</v>
      </c>
      <c r="I37" s="56"/>
      <c r="J37" s="17" t="s">
        <v>75</v>
      </c>
    </row>
    <row r="38" spans="1:14" hidden="1" x14ac:dyDescent="0.3">
      <c r="B38"/>
      <c r="C38" s="59" t="s">
        <v>76</v>
      </c>
      <c r="D38" s="59"/>
      <c r="E38" s="19">
        <f>COUNTIF($G$2:$G$33,"Baixa*")</f>
        <v>4</v>
      </c>
      <c r="F38" s="41"/>
      <c r="G38" s="53">
        <f>SUM(E38:E40)</f>
        <v>7</v>
      </c>
      <c r="H38" s="60" t="s">
        <v>77</v>
      </c>
      <c r="I38" s="60"/>
      <c r="J38" s="18" t="s">
        <v>78</v>
      </c>
    </row>
    <row r="39" spans="1:14" hidden="1" x14ac:dyDescent="0.3">
      <c r="B39"/>
      <c r="C39" s="61" t="s">
        <v>79</v>
      </c>
      <c r="D39" s="61"/>
      <c r="E39" s="19">
        <f>COUNTIF($G$2:$G$33,"Media*")</f>
        <v>2</v>
      </c>
      <c r="F39" s="42"/>
      <c r="G39" s="54"/>
      <c r="H39" s="56">
        <v>30</v>
      </c>
      <c r="I39" s="56"/>
      <c r="J39" s="20" t="s">
        <v>80</v>
      </c>
    </row>
    <row r="40" spans="1:14" hidden="1" x14ac:dyDescent="0.3">
      <c r="B40"/>
      <c r="C40" s="62" t="s">
        <v>81</v>
      </c>
      <c r="D40" s="62"/>
      <c r="E40" s="19">
        <f>COUNTIF($G$2:$G$33,"Alta*")</f>
        <v>1</v>
      </c>
      <c r="F40" s="43"/>
      <c r="G40" s="55"/>
      <c r="H40" s="37"/>
      <c r="I40" s="22"/>
      <c r="J40" s="22"/>
    </row>
    <row r="41" spans="1:14" hidden="1" x14ac:dyDescent="0.3">
      <c r="B41"/>
      <c r="C41" s="50"/>
      <c r="D41" s="50"/>
      <c r="G41" s="24"/>
      <c r="H41" s="51" t="s">
        <v>82</v>
      </c>
      <c r="I41" s="52"/>
      <c r="J41" s="23" cm="1">
        <f t="array" ref="J41">1 - COUNTIF(D2:D33,"Não")/SUMPRODUCT(--(ISTEXT(D2:D33)), --(D2:D33&lt;&gt;""))</f>
        <v>0.78125</v>
      </c>
    </row>
    <row r="42" spans="1:14" hidden="1" x14ac:dyDescent="0.3">
      <c r="J42" s="3"/>
    </row>
    <row r="43" spans="1:14" hidden="1" x14ac:dyDescent="0.3">
      <c r="J43" s="3"/>
    </row>
    <row r="44" spans="1:14" hidden="1" x14ac:dyDescent="0.3">
      <c r="E44" s="3">
        <f>COUNTIF($D$2:$D$33,"sim*")</f>
        <v>24</v>
      </c>
      <c r="J44" s="3"/>
    </row>
    <row r="45" spans="1:14" hidden="1" x14ac:dyDescent="0.3">
      <c r="C45" s="5"/>
      <c r="E45" s="3">
        <f>COUNTIF($D$2:$D$33,"não")</f>
        <v>7</v>
      </c>
      <c r="J45" s="3"/>
    </row>
    <row r="46" spans="1:14" hidden="1" x14ac:dyDescent="0.3">
      <c r="J46" s="3"/>
    </row>
    <row r="47" spans="1:14" hidden="1" x14ac:dyDescent="0.3">
      <c r="J47" s="3"/>
    </row>
    <row r="48" spans="1:14" hidden="1" x14ac:dyDescent="0.3">
      <c r="J48" s="3"/>
    </row>
    <row r="49" spans="2:8" s="3" customFormat="1" hidden="1" x14ac:dyDescent="0.3">
      <c r="B49" s="4"/>
      <c r="C49" s="1"/>
      <c r="F49" s="38"/>
      <c r="H49" s="38"/>
    </row>
    <row r="50" spans="2:8" s="3" customFormat="1" hidden="1" x14ac:dyDescent="0.3">
      <c r="B50" s="4"/>
      <c r="C50" s="1"/>
      <c r="F50" s="38"/>
      <c r="H50" s="38"/>
    </row>
    <row r="51" spans="2:8" s="3" customFormat="1" hidden="1" x14ac:dyDescent="0.3">
      <c r="B51" s="4"/>
      <c r="C51" s="1"/>
      <c r="F51" s="38"/>
      <c r="H51" s="38"/>
    </row>
    <row r="52" spans="2:8" s="3" customFormat="1" hidden="1" x14ac:dyDescent="0.3">
      <c r="B52" s="4"/>
      <c r="C52" s="1"/>
      <c r="F52" s="38"/>
      <c r="H52" s="38"/>
    </row>
    <row r="53" spans="2:8" s="3" customFormat="1" hidden="1" x14ac:dyDescent="0.3">
      <c r="B53" s="4"/>
      <c r="C53" s="1"/>
      <c r="F53" s="38"/>
      <c r="H53" s="38"/>
    </row>
    <row r="54" spans="2:8" s="3" customFormat="1" hidden="1" x14ac:dyDescent="0.3">
      <c r="B54" s="4"/>
      <c r="C54" s="1"/>
      <c r="F54" s="38"/>
      <c r="H54" s="38"/>
    </row>
    <row r="55" spans="2:8" s="3" customFormat="1" hidden="1" x14ac:dyDescent="0.3">
      <c r="B55" s="4"/>
      <c r="C55" s="1"/>
      <c r="F55" s="38"/>
      <c r="H55" s="38"/>
    </row>
    <row r="56" spans="2:8" s="3" customFormat="1" hidden="1" x14ac:dyDescent="0.3">
      <c r="B56" s="4"/>
      <c r="C56" s="1"/>
      <c r="F56" s="38"/>
      <c r="H56" s="38"/>
    </row>
    <row r="57" spans="2:8" s="3" customFormat="1" hidden="1" x14ac:dyDescent="0.3">
      <c r="B57" s="4"/>
      <c r="C57" s="1"/>
      <c r="F57" s="38"/>
      <c r="H57" s="38"/>
    </row>
    <row r="58" spans="2:8" s="3" customFormat="1" hidden="1" x14ac:dyDescent="0.3">
      <c r="B58" s="4"/>
      <c r="C58" s="1"/>
      <c r="F58" s="38"/>
      <c r="H58" s="38"/>
    </row>
    <row r="59" spans="2:8" s="3" customFormat="1" hidden="1" x14ac:dyDescent="0.3">
      <c r="B59" s="4"/>
      <c r="C59" s="1"/>
      <c r="F59" s="38"/>
      <c r="H59" s="38"/>
    </row>
    <row r="60" spans="2:8" s="3" customFormat="1" hidden="1" x14ac:dyDescent="0.3">
      <c r="B60" s="4"/>
      <c r="C60" s="1"/>
      <c r="F60" s="38"/>
      <c r="H60" s="38"/>
    </row>
    <row r="61" spans="2:8" s="3" customFormat="1" hidden="1" x14ac:dyDescent="0.3">
      <c r="B61" s="4"/>
      <c r="C61" s="1"/>
      <c r="F61" s="38"/>
      <c r="H61" s="38"/>
    </row>
    <row r="62" spans="2:8" s="3" customFormat="1" hidden="1" x14ac:dyDescent="0.3">
      <c r="B62" s="4"/>
      <c r="C62" s="1"/>
      <c r="F62" s="38"/>
      <c r="H62" s="38"/>
    </row>
    <row r="63" spans="2:8" s="3" customFormat="1" hidden="1" x14ac:dyDescent="0.3">
      <c r="B63" s="4"/>
      <c r="C63" s="1"/>
      <c r="F63" s="38"/>
      <c r="H63" s="38"/>
    </row>
    <row r="64" spans="2:8" s="3" customFormat="1" hidden="1" x14ac:dyDescent="0.3">
      <c r="B64" s="4"/>
      <c r="C64" s="1"/>
      <c r="F64" s="38"/>
      <c r="H64" s="38"/>
    </row>
    <row r="65" spans="2:8" s="3" customFormat="1" hidden="1" x14ac:dyDescent="0.3">
      <c r="B65" s="4"/>
      <c r="C65" s="1"/>
      <c r="F65" s="38"/>
      <c r="H65" s="38"/>
    </row>
    <row r="66" spans="2:8" s="3" customFormat="1" hidden="1" x14ac:dyDescent="0.3">
      <c r="B66" s="4"/>
      <c r="C66" s="1"/>
      <c r="F66" s="38"/>
      <c r="H66" s="38"/>
    </row>
    <row r="67" spans="2:8" s="3" customFormat="1" hidden="1" x14ac:dyDescent="0.3">
      <c r="B67" s="4"/>
      <c r="C67" s="1"/>
      <c r="F67" s="38"/>
      <c r="H67" s="38"/>
    </row>
    <row r="68" spans="2:8" s="3" customFormat="1" hidden="1" x14ac:dyDescent="0.3">
      <c r="B68" s="4"/>
      <c r="C68" s="1"/>
      <c r="F68" s="38"/>
      <c r="H68" s="38"/>
    </row>
    <row r="69" spans="2:8" s="3" customFormat="1" hidden="1" x14ac:dyDescent="0.3">
      <c r="B69" s="4"/>
      <c r="C69" s="1"/>
      <c r="F69" s="38"/>
      <c r="H69" s="38"/>
    </row>
    <row r="70" spans="2:8" s="3" customFormat="1" hidden="1" x14ac:dyDescent="0.3">
      <c r="B70" s="4"/>
      <c r="C70" s="1"/>
      <c r="F70" s="38"/>
      <c r="H70" s="38"/>
    </row>
    <row r="71" spans="2:8" s="3" customFormat="1" hidden="1" x14ac:dyDescent="0.3">
      <c r="B71" s="4"/>
      <c r="C71" s="1"/>
      <c r="F71" s="38"/>
      <c r="H71" s="38"/>
    </row>
    <row r="72" spans="2:8" s="3" customFormat="1" hidden="1" x14ac:dyDescent="0.3">
      <c r="B72" s="4"/>
      <c r="C72" s="1"/>
      <c r="F72" s="38"/>
      <c r="H72" s="38"/>
    </row>
    <row r="73" spans="2:8" s="3" customFormat="1" hidden="1" x14ac:dyDescent="0.3">
      <c r="B73" s="4"/>
      <c r="C73" s="1"/>
      <c r="F73" s="38"/>
      <c r="H73" s="38"/>
    </row>
    <row r="74" spans="2:8" s="3" customFormat="1" hidden="1" x14ac:dyDescent="0.3">
      <c r="B74" s="4"/>
      <c r="C74" s="1"/>
      <c r="F74" s="38"/>
      <c r="H74" s="38"/>
    </row>
    <row r="75" spans="2:8" s="3" customFormat="1" hidden="1" x14ac:dyDescent="0.3">
      <c r="B75" s="4"/>
      <c r="C75" s="1"/>
      <c r="F75" s="38"/>
      <c r="H75" s="38"/>
    </row>
    <row r="76" spans="2:8" s="3" customFormat="1" hidden="1" x14ac:dyDescent="0.3">
      <c r="B76" s="4"/>
      <c r="C76" s="1"/>
      <c r="F76" s="38"/>
      <c r="H76" s="38"/>
    </row>
    <row r="77" spans="2:8" s="3" customFormat="1" hidden="1" x14ac:dyDescent="0.3">
      <c r="B77" s="4"/>
      <c r="C77" s="1"/>
      <c r="F77" s="38"/>
      <c r="H77" s="38"/>
    </row>
    <row r="78" spans="2:8" s="3" customFormat="1" hidden="1" x14ac:dyDescent="0.3">
      <c r="B78" s="4"/>
      <c r="C78" s="1"/>
      <c r="F78" s="38"/>
      <c r="H78" s="38"/>
    </row>
    <row r="79" spans="2:8" s="3" customFormat="1" hidden="1" x14ac:dyDescent="0.3">
      <c r="B79" s="4"/>
      <c r="C79" s="1"/>
      <c r="F79" s="38"/>
      <c r="H79" s="38"/>
    </row>
    <row r="80" spans="2:8" s="3" customFormat="1" hidden="1" x14ac:dyDescent="0.3">
      <c r="B80" s="4"/>
      <c r="C80" s="1"/>
      <c r="F80" s="38"/>
      <c r="H80" s="38"/>
    </row>
    <row r="81" spans="2:8" s="3" customFormat="1" hidden="1" x14ac:dyDescent="0.3">
      <c r="B81" s="4"/>
      <c r="C81" s="1"/>
      <c r="F81" s="38"/>
      <c r="H81" s="38"/>
    </row>
    <row r="82" spans="2:8" s="3" customFormat="1" hidden="1" x14ac:dyDescent="0.3">
      <c r="B82" s="4"/>
      <c r="C82" s="1"/>
      <c r="F82" s="38"/>
      <c r="H82" s="38"/>
    </row>
    <row r="83" spans="2:8" s="3" customFormat="1" hidden="1" x14ac:dyDescent="0.3">
      <c r="B83" s="4"/>
      <c r="C83" s="1"/>
      <c r="F83" s="38"/>
      <c r="H83" s="38"/>
    </row>
    <row r="84" spans="2:8" s="3" customFormat="1" hidden="1" x14ac:dyDescent="0.3">
      <c r="B84" s="4"/>
      <c r="C84" s="1"/>
      <c r="F84" s="38"/>
      <c r="H84" s="38"/>
    </row>
    <row r="85" spans="2:8" s="3" customFormat="1" hidden="1" x14ac:dyDescent="0.3">
      <c r="B85" s="4"/>
      <c r="C85" s="1"/>
      <c r="F85" s="38"/>
      <c r="H85" s="38"/>
    </row>
    <row r="86" spans="2:8" s="3" customFormat="1" hidden="1" x14ac:dyDescent="0.3">
      <c r="B86" s="4"/>
      <c r="C86" s="1"/>
      <c r="F86" s="38"/>
      <c r="H86" s="38"/>
    </row>
    <row r="87" spans="2:8" s="3" customFormat="1" hidden="1" x14ac:dyDescent="0.3">
      <c r="B87" s="4"/>
      <c r="C87" s="1"/>
      <c r="F87" s="38"/>
      <c r="H87" s="38"/>
    </row>
    <row r="88" spans="2:8" s="3" customFormat="1" hidden="1" x14ac:dyDescent="0.3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ht="51.6" customHeight="1" x14ac:dyDescent="0.3">
      <c r="B4" s="63" t="s">
        <v>84</v>
      </c>
      <c r="C4" s="63"/>
      <c r="D4" s="63"/>
      <c r="E4" s="63"/>
      <c r="F4" s="63"/>
      <c r="G4" s="70" t="s">
        <v>85</v>
      </c>
      <c r="H4" s="70"/>
      <c r="I4" s="70"/>
      <c r="J4" s="70"/>
      <c r="K4" s="70"/>
      <c r="L4" s="70"/>
      <c r="M4" s="70"/>
      <c r="N4" s="70"/>
    </row>
    <row r="5" spans="2:14" x14ac:dyDescent="0.3">
      <c r="B5" s="63" t="s">
        <v>86</v>
      </c>
      <c r="C5" s="63"/>
      <c r="D5" s="63"/>
      <c r="E5" s="63"/>
      <c r="F5" s="63"/>
      <c r="G5" s="64" t="s">
        <v>18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87</v>
      </c>
      <c r="C6" s="63"/>
      <c r="D6" s="63"/>
      <c r="E6" s="63"/>
      <c r="F6" s="63"/>
      <c r="G6" s="67">
        <v>46122.497916666667</v>
      </c>
      <c r="H6" s="68"/>
      <c r="I6" s="63" t="s">
        <v>88</v>
      </c>
      <c r="J6" s="63"/>
      <c r="K6" s="63"/>
      <c r="L6" s="63"/>
      <c r="M6" s="69">
        <v>46122.543055555558</v>
      </c>
      <c r="N6" s="69"/>
    </row>
    <row r="7" spans="2:14" x14ac:dyDescent="0.3">
      <c r="B7" s="63" t="s">
        <v>89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90</v>
      </c>
      <c r="C8" s="63"/>
      <c r="D8" s="63"/>
      <c r="E8" s="63"/>
      <c r="F8" s="63"/>
      <c r="G8" s="64" t="s">
        <v>91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70" t="s">
        <v>94</v>
      </c>
      <c r="C11" s="70"/>
      <c r="D11" s="70"/>
      <c r="E11" s="70"/>
      <c r="F11" s="70"/>
      <c r="G11" s="71" t="s">
        <v>95</v>
      </c>
      <c r="H11" s="71"/>
      <c r="I11" s="71"/>
      <c r="J11" s="71"/>
      <c r="K11" s="70" t="s">
        <v>19</v>
      </c>
      <c r="L11" s="70"/>
      <c r="M11" s="70"/>
      <c r="N11" s="70"/>
    </row>
    <row r="12" spans="2:14" x14ac:dyDescent="0.3">
      <c r="B12" s="70"/>
      <c r="C12" s="70"/>
      <c r="D12" s="70"/>
      <c r="E12" s="70"/>
      <c r="F12" s="70"/>
      <c r="G12" s="71"/>
      <c r="H12" s="71"/>
      <c r="I12" s="71"/>
      <c r="J12" s="71"/>
      <c r="K12" s="70"/>
      <c r="L12" s="70"/>
      <c r="M12" s="70"/>
      <c r="N12" s="70"/>
    </row>
    <row r="13" spans="2:14" x14ac:dyDescent="0.3">
      <c r="B13" s="70"/>
      <c r="C13" s="70"/>
      <c r="D13" s="70"/>
      <c r="E13" s="70"/>
      <c r="F13" s="70"/>
      <c r="G13" s="71"/>
      <c r="H13" s="71"/>
      <c r="I13" s="71"/>
      <c r="J13" s="71"/>
      <c r="K13" s="70"/>
      <c r="L13" s="70"/>
      <c r="M13" s="70"/>
      <c r="N13" s="70"/>
    </row>
    <row r="14" spans="2:14" x14ac:dyDescent="0.3">
      <c r="B14" s="70"/>
      <c r="C14" s="70"/>
      <c r="D14" s="70"/>
      <c r="E14" s="70"/>
      <c r="F14" s="70"/>
      <c r="G14" s="71"/>
      <c r="H14" s="71"/>
      <c r="I14" s="71"/>
      <c r="J14" s="71"/>
      <c r="K14" s="70"/>
      <c r="L14" s="70"/>
      <c r="M14" s="70"/>
      <c r="N14" s="70"/>
    </row>
    <row r="15" spans="2:14" x14ac:dyDescent="0.3">
      <c r="B15" s="70"/>
      <c r="C15" s="70"/>
      <c r="D15" s="70"/>
      <c r="E15" s="70"/>
      <c r="F15" s="70"/>
      <c r="G15" s="71"/>
      <c r="H15" s="71"/>
      <c r="I15" s="71"/>
      <c r="J15" s="71"/>
      <c r="K15" s="70"/>
      <c r="L15" s="70"/>
      <c r="M15" s="70"/>
      <c r="N15" s="7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67">
        <v>46122.543055555558</v>
      </c>
      <c r="L17" s="72"/>
      <c r="M17" s="72"/>
      <c r="N17" s="68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ht="51.6" customHeight="1" x14ac:dyDescent="0.3">
      <c r="B4" s="63" t="s">
        <v>84</v>
      </c>
      <c r="C4" s="63"/>
      <c r="D4" s="63"/>
      <c r="E4" s="63"/>
      <c r="F4" s="63"/>
      <c r="G4" s="70" t="s">
        <v>85</v>
      </c>
      <c r="H4" s="70"/>
      <c r="I4" s="70"/>
      <c r="J4" s="70"/>
      <c r="K4" s="70"/>
      <c r="L4" s="70"/>
      <c r="M4" s="70"/>
      <c r="N4" s="70"/>
    </row>
    <row r="5" spans="2:14" ht="14.4" customHeight="1" x14ac:dyDescent="0.3">
      <c r="B5" s="63" t="s">
        <v>86</v>
      </c>
      <c r="C5" s="63"/>
      <c r="D5" s="63"/>
      <c r="E5" s="63"/>
      <c r="F5" s="63"/>
      <c r="G5" s="64" t="s">
        <v>101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87</v>
      </c>
      <c r="C6" s="63"/>
      <c r="D6" s="63"/>
      <c r="E6" s="63"/>
      <c r="F6" s="63"/>
      <c r="G6" s="85">
        <v>46122.501388888886</v>
      </c>
      <c r="H6" s="85"/>
      <c r="I6" s="63" t="s">
        <v>88</v>
      </c>
      <c r="J6" s="63"/>
      <c r="K6" s="63"/>
      <c r="L6" s="63"/>
      <c r="M6" s="85">
        <v>46122.564583333333</v>
      </c>
      <c r="N6" s="85"/>
    </row>
    <row r="7" spans="2:14" x14ac:dyDescent="0.3">
      <c r="B7" s="63" t="s">
        <v>89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90</v>
      </c>
      <c r="C8" s="63"/>
      <c r="D8" s="63"/>
      <c r="E8" s="63"/>
      <c r="F8" s="63"/>
      <c r="G8" s="64" t="s">
        <v>91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86" t="s">
        <v>25</v>
      </c>
      <c r="C11" s="86"/>
      <c r="D11" s="86"/>
      <c r="E11" s="86"/>
      <c r="F11" s="86"/>
      <c r="G11" s="71" t="s">
        <v>105</v>
      </c>
      <c r="H11" s="71"/>
      <c r="I11" s="71"/>
      <c r="J11" s="71"/>
      <c r="K11" s="70" t="s">
        <v>26</v>
      </c>
      <c r="L11" s="70"/>
      <c r="M11" s="70"/>
      <c r="N11" s="70"/>
    </row>
    <row r="12" spans="2:14" x14ac:dyDescent="0.3">
      <c r="B12" s="86"/>
      <c r="C12" s="86"/>
      <c r="D12" s="86"/>
      <c r="E12" s="86"/>
      <c r="F12" s="86"/>
      <c r="G12" s="71"/>
      <c r="H12" s="71"/>
      <c r="I12" s="71"/>
      <c r="J12" s="71"/>
      <c r="K12" s="70"/>
      <c r="L12" s="70"/>
      <c r="M12" s="70"/>
      <c r="N12" s="70"/>
    </row>
    <row r="13" spans="2:14" x14ac:dyDescent="0.3">
      <c r="B13" s="86"/>
      <c r="C13" s="86"/>
      <c r="D13" s="86"/>
      <c r="E13" s="86"/>
      <c r="F13" s="86"/>
      <c r="G13" s="71"/>
      <c r="H13" s="71"/>
      <c r="I13" s="71"/>
      <c r="J13" s="71"/>
      <c r="K13" s="70"/>
      <c r="L13" s="70"/>
      <c r="M13" s="70"/>
      <c r="N13" s="70"/>
    </row>
    <row r="14" spans="2:14" x14ac:dyDescent="0.3">
      <c r="B14" s="86"/>
      <c r="C14" s="86"/>
      <c r="D14" s="86"/>
      <c r="E14" s="86"/>
      <c r="F14" s="86"/>
      <c r="G14" s="71"/>
      <c r="H14" s="71"/>
      <c r="I14" s="71"/>
      <c r="J14" s="71"/>
      <c r="K14" s="70"/>
      <c r="L14" s="70"/>
      <c r="M14" s="70"/>
      <c r="N14" s="70"/>
    </row>
    <row r="15" spans="2:14" x14ac:dyDescent="0.3">
      <c r="B15" s="86"/>
      <c r="C15" s="86"/>
      <c r="D15" s="86"/>
      <c r="E15" s="86"/>
      <c r="F15" s="86"/>
      <c r="G15" s="71"/>
      <c r="H15" s="71"/>
      <c r="I15" s="71"/>
      <c r="J15" s="71"/>
      <c r="K15" s="70"/>
      <c r="L15" s="70"/>
      <c r="M15" s="70"/>
      <c r="N15" s="7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67">
        <v>46122.564583333333</v>
      </c>
      <c r="L17" s="72"/>
      <c r="M17" s="72"/>
      <c r="N17" s="68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ht="40.200000000000003" customHeight="1" x14ac:dyDescent="0.3">
      <c r="B4" s="63" t="s">
        <v>110</v>
      </c>
      <c r="C4" s="63"/>
      <c r="D4" s="63"/>
      <c r="E4" s="63"/>
      <c r="F4" s="63"/>
      <c r="G4" s="88" t="s">
        <v>109</v>
      </c>
      <c r="H4" s="65"/>
      <c r="I4" s="65"/>
      <c r="J4" s="65"/>
      <c r="K4" s="65"/>
      <c r="L4" s="65"/>
      <c r="M4" s="65"/>
      <c r="N4" s="66"/>
    </row>
    <row r="5" spans="2:14" x14ac:dyDescent="0.3">
      <c r="B5" s="63" t="s">
        <v>8</v>
      </c>
      <c r="C5" s="63"/>
      <c r="D5" s="63"/>
      <c r="E5" s="63"/>
      <c r="F5" s="63"/>
      <c r="G5" s="64" t="s">
        <v>101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114</v>
      </c>
      <c r="C6" s="63"/>
      <c r="D6" s="63"/>
      <c r="E6" s="63"/>
      <c r="F6" s="63"/>
      <c r="G6" s="87" t="s">
        <v>121</v>
      </c>
      <c r="H6" s="71"/>
      <c r="I6" s="63" t="s">
        <v>88</v>
      </c>
      <c r="J6" s="63"/>
      <c r="K6" s="63"/>
      <c r="L6" s="63"/>
      <c r="M6" s="87" t="s">
        <v>132</v>
      </c>
      <c r="N6" s="71"/>
    </row>
    <row r="7" spans="2:14" x14ac:dyDescent="0.3">
      <c r="B7" s="63" t="s">
        <v>111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112</v>
      </c>
      <c r="C8" s="63"/>
      <c r="D8" s="63"/>
      <c r="E8" s="63"/>
      <c r="F8" s="63"/>
      <c r="G8" s="64" t="s">
        <v>118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89" t="s">
        <v>102</v>
      </c>
      <c r="C11" s="90"/>
      <c r="D11" s="90"/>
      <c r="E11" s="90"/>
      <c r="F11" s="91"/>
      <c r="G11" s="98" t="s">
        <v>103</v>
      </c>
      <c r="H11" s="98"/>
      <c r="I11" s="98"/>
      <c r="J11" s="98"/>
      <c r="K11" s="99" t="s">
        <v>107</v>
      </c>
      <c r="L11" s="100"/>
      <c r="M11" s="100"/>
      <c r="N11" s="100"/>
    </row>
    <row r="12" spans="2:14" x14ac:dyDescent="0.3">
      <c r="B12" s="92"/>
      <c r="C12" s="93"/>
      <c r="D12" s="93"/>
      <c r="E12" s="93"/>
      <c r="F12" s="94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92"/>
      <c r="C13" s="93"/>
      <c r="D13" s="93"/>
      <c r="E13" s="93"/>
      <c r="F13" s="94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92"/>
      <c r="C14" s="93"/>
      <c r="D14" s="93"/>
      <c r="E14" s="93"/>
      <c r="F14" s="94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95"/>
      <c r="C15" s="96"/>
      <c r="D15" s="96"/>
      <c r="E15" s="96"/>
      <c r="F15" s="97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131</v>
      </c>
      <c r="H17" s="65"/>
      <c r="I17" s="65"/>
      <c r="J17" s="66"/>
      <c r="K17" s="101" t="s">
        <v>132</v>
      </c>
      <c r="L17" s="65"/>
      <c r="M17" s="65"/>
      <c r="N17" s="66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x14ac:dyDescent="0.3">
      <c r="B4" s="63" t="s">
        <v>110</v>
      </c>
      <c r="C4" s="63"/>
      <c r="D4" s="63"/>
      <c r="E4" s="63"/>
      <c r="F4" s="63"/>
      <c r="G4" s="88" t="s">
        <v>109</v>
      </c>
      <c r="H4" s="65"/>
      <c r="I4" s="65"/>
      <c r="J4" s="65"/>
      <c r="K4" s="65"/>
      <c r="L4" s="65"/>
      <c r="M4" s="65"/>
      <c r="N4" s="66"/>
    </row>
    <row r="5" spans="2:14" x14ac:dyDescent="0.3">
      <c r="B5" s="63" t="s">
        <v>8</v>
      </c>
      <c r="C5" s="63"/>
      <c r="D5" s="63"/>
      <c r="E5" s="63"/>
      <c r="F5" s="63"/>
      <c r="G5" s="64" t="s">
        <v>101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114</v>
      </c>
      <c r="C6" s="63"/>
      <c r="D6" s="63"/>
      <c r="E6" s="63"/>
      <c r="F6" s="63"/>
      <c r="G6" s="87" t="s">
        <v>124</v>
      </c>
      <c r="H6" s="71"/>
      <c r="I6" s="63" t="s">
        <v>88</v>
      </c>
      <c r="J6" s="63"/>
      <c r="K6" s="63"/>
      <c r="L6" s="63"/>
      <c r="M6" s="87" t="s">
        <v>133</v>
      </c>
      <c r="N6" s="71"/>
    </row>
    <row r="7" spans="2:14" x14ac:dyDescent="0.3">
      <c r="B7" s="63" t="s">
        <v>111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112</v>
      </c>
      <c r="C8" s="63"/>
      <c r="D8" s="63"/>
      <c r="E8" s="63"/>
      <c r="F8" s="63"/>
      <c r="G8" s="64" t="s">
        <v>119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100" t="s">
        <v>35</v>
      </c>
      <c r="C11" s="100"/>
      <c r="D11" s="100"/>
      <c r="E11" s="100"/>
      <c r="F11" s="100"/>
      <c r="G11" s="98" t="s">
        <v>116</v>
      </c>
      <c r="H11" s="98"/>
      <c r="I11" s="98"/>
      <c r="J11" s="98"/>
      <c r="K11" s="100" t="s">
        <v>37</v>
      </c>
      <c r="L11" s="100"/>
      <c r="M11" s="100"/>
      <c r="N11" s="100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101" t="s">
        <v>133</v>
      </c>
      <c r="L17" s="65"/>
      <c r="M17" s="65"/>
      <c r="N17" s="66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G17" sqref="G17:J17"/>
    </sheetView>
  </sheetViews>
  <sheetFormatPr defaultRowHeight="14.4" x14ac:dyDescent="0.3"/>
  <sheetData>
    <row r="3" spans="2:19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9" x14ac:dyDescent="0.3">
      <c r="B4" s="63" t="s">
        <v>84</v>
      </c>
      <c r="C4" s="63"/>
      <c r="D4" s="63"/>
      <c r="E4" s="63"/>
      <c r="F4" s="63"/>
      <c r="G4" s="88" t="s">
        <v>106</v>
      </c>
      <c r="H4" s="65"/>
      <c r="I4" s="65"/>
      <c r="J4" s="65"/>
      <c r="K4" s="65"/>
      <c r="L4" s="65"/>
      <c r="M4" s="65"/>
      <c r="N4" s="66"/>
    </row>
    <row r="5" spans="2:19" x14ac:dyDescent="0.3">
      <c r="B5" s="63" t="s">
        <v>86</v>
      </c>
      <c r="C5" s="63"/>
      <c r="D5" s="63"/>
      <c r="E5" s="63"/>
      <c r="F5" s="63"/>
      <c r="G5" s="64" t="s">
        <v>108</v>
      </c>
      <c r="H5" s="65"/>
      <c r="I5" s="65"/>
      <c r="J5" s="65"/>
      <c r="K5" s="65"/>
      <c r="L5" s="65"/>
      <c r="M5" s="65"/>
      <c r="N5" s="66"/>
      <c r="S5" s="48"/>
    </row>
    <row r="6" spans="2:19" x14ac:dyDescent="0.3">
      <c r="B6" s="63" t="s">
        <v>117</v>
      </c>
      <c r="C6" s="63"/>
      <c r="D6" s="63"/>
      <c r="E6" s="63"/>
      <c r="F6" s="63"/>
      <c r="G6" s="67">
        <v>46122.504861111112</v>
      </c>
      <c r="H6" s="68"/>
      <c r="I6" s="73" t="s">
        <v>88</v>
      </c>
      <c r="J6" s="74"/>
      <c r="K6" s="74"/>
      <c r="L6" s="75"/>
      <c r="M6" s="67">
        <v>46126.504861111112</v>
      </c>
      <c r="N6" s="68"/>
    </row>
    <row r="7" spans="2:19" x14ac:dyDescent="0.3">
      <c r="B7" s="63" t="s">
        <v>89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9" x14ac:dyDescent="0.3">
      <c r="B8" s="63" t="s">
        <v>90</v>
      </c>
      <c r="C8" s="63"/>
      <c r="D8" s="63"/>
      <c r="E8" s="63"/>
      <c r="F8" s="63"/>
      <c r="G8" s="64" t="s">
        <v>119</v>
      </c>
      <c r="H8" s="65"/>
      <c r="I8" s="65"/>
      <c r="J8" s="65"/>
      <c r="K8" s="65"/>
      <c r="L8" s="65"/>
      <c r="M8" s="65"/>
      <c r="N8" s="66"/>
    </row>
    <row r="9" spans="2:19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9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9" x14ac:dyDescent="0.3">
      <c r="B11" s="100" t="s">
        <v>40</v>
      </c>
      <c r="C11" s="100"/>
      <c r="D11" s="100"/>
      <c r="E11" s="100"/>
      <c r="F11" s="100"/>
      <c r="G11" s="98" t="s">
        <v>122</v>
      </c>
      <c r="H11" s="98"/>
      <c r="I11" s="98"/>
      <c r="J11" s="98"/>
      <c r="K11" s="100" t="s">
        <v>41</v>
      </c>
      <c r="L11" s="100"/>
      <c r="M11" s="100"/>
      <c r="N11" s="100"/>
    </row>
    <row r="12" spans="2:19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9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9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9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9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67">
        <v>46126.504861111112</v>
      </c>
      <c r="L17" s="72"/>
      <c r="M17" s="72"/>
      <c r="N17" s="68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x14ac:dyDescent="0.3">
      <c r="B4" s="63" t="s">
        <v>84</v>
      </c>
      <c r="C4" s="63"/>
      <c r="D4" s="63"/>
      <c r="E4" s="63"/>
      <c r="F4" s="63"/>
      <c r="G4" s="71" t="s">
        <v>106</v>
      </c>
      <c r="H4" s="71"/>
      <c r="I4" s="71"/>
      <c r="J4" s="71"/>
      <c r="K4" s="71"/>
      <c r="L4" s="71"/>
      <c r="M4" s="71"/>
      <c r="N4" s="71"/>
    </row>
    <row r="5" spans="2:14" x14ac:dyDescent="0.3">
      <c r="B5" s="63" t="s">
        <v>86</v>
      </c>
      <c r="C5" s="63"/>
      <c r="D5" s="63"/>
      <c r="E5" s="63"/>
      <c r="F5" s="63"/>
      <c r="G5" s="64" t="s">
        <v>113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117</v>
      </c>
      <c r="C6" s="63"/>
      <c r="D6" s="63"/>
      <c r="E6" s="63"/>
      <c r="F6" s="63"/>
      <c r="G6" s="101" t="s">
        <v>126</v>
      </c>
      <c r="H6" s="102"/>
      <c r="I6" s="63" t="s">
        <v>88</v>
      </c>
      <c r="J6" s="63"/>
      <c r="K6" s="63"/>
      <c r="L6" s="63"/>
      <c r="M6" s="101" t="s">
        <v>134</v>
      </c>
      <c r="N6" s="102"/>
    </row>
    <row r="7" spans="2:14" x14ac:dyDescent="0.3">
      <c r="B7" s="63" t="s">
        <v>89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90</v>
      </c>
      <c r="C8" s="63"/>
      <c r="D8" s="63"/>
      <c r="E8" s="63"/>
      <c r="F8" s="63"/>
      <c r="G8" s="64" t="s">
        <v>115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100" t="s">
        <v>53</v>
      </c>
      <c r="C11" s="100"/>
      <c r="D11" s="100"/>
      <c r="E11" s="100"/>
      <c r="F11" s="100"/>
      <c r="G11" s="98" t="s">
        <v>120</v>
      </c>
      <c r="H11" s="98"/>
      <c r="I11" s="98"/>
      <c r="J11" s="98"/>
      <c r="K11" s="100" t="s">
        <v>54</v>
      </c>
      <c r="L11" s="100"/>
      <c r="M11" s="100"/>
      <c r="N11" s="100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101" t="s">
        <v>134</v>
      </c>
      <c r="L17" s="65"/>
      <c r="M17" s="65"/>
      <c r="N17" s="66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3" t="s">
        <v>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x14ac:dyDescent="0.3">
      <c r="B4" s="63" t="s">
        <v>84</v>
      </c>
      <c r="C4" s="63"/>
      <c r="D4" s="63"/>
      <c r="E4" s="63"/>
      <c r="F4" s="63"/>
      <c r="G4" s="71" t="s">
        <v>109</v>
      </c>
      <c r="H4" s="71"/>
      <c r="I4" s="71"/>
      <c r="J4" s="71"/>
      <c r="K4" s="71"/>
      <c r="L4" s="71"/>
      <c r="M4" s="71"/>
      <c r="N4" s="71"/>
    </row>
    <row r="5" spans="2:14" x14ac:dyDescent="0.3">
      <c r="B5" s="63" t="s">
        <v>86</v>
      </c>
      <c r="C5" s="63"/>
      <c r="D5" s="63"/>
      <c r="E5" s="63"/>
      <c r="F5" s="63"/>
      <c r="G5" s="64" t="s">
        <v>101</v>
      </c>
      <c r="H5" s="65"/>
      <c r="I5" s="65"/>
      <c r="J5" s="65"/>
      <c r="K5" s="65"/>
      <c r="L5" s="65"/>
      <c r="M5" s="65"/>
      <c r="N5" s="66"/>
    </row>
    <row r="6" spans="2:14" x14ac:dyDescent="0.3">
      <c r="B6" s="63" t="s">
        <v>117</v>
      </c>
      <c r="C6" s="63"/>
      <c r="D6" s="63"/>
      <c r="E6" s="63"/>
      <c r="F6" s="63"/>
      <c r="G6" s="103">
        <v>46122.506249999999</v>
      </c>
      <c r="H6" s="103"/>
      <c r="I6" s="63" t="s">
        <v>88</v>
      </c>
      <c r="J6" s="63"/>
      <c r="K6" s="63"/>
      <c r="L6" s="63"/>
      <c r="M6" s="103">
        <v>46122.546527777777</v>
      </c>
      <c r="N6" s="103"/>
    </row>
    <row r="7" spans="2:14" x14ac:dyDescent="0.3">
      <c r="B7" s="63" t="s">
        <v>89</v>
      </c>
      <c r="C7" s="63"/>
      <c r="D7" s="63"/>
      <c r="E7" s="63"/>
      <c r="F7" s="63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63" t="s">
        <v>90</v>
      </c>
      <c r="C8" s="63"/>
      <c r="D8" s="63"/>
      <c r="E8" s="63"/>
      <c r="F8" s="63"/>
      <c r="G8" s="64" t="s">
        <v>119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63" t="s">
        <v>2</v>
      </c>
      <c r="C10" s="63"/>
      <c r="D10" s="63"/>
      <c r="E10" s="63"/>
      <c r="F10" s="63"/>
      <c r="G10" s="63" t="s">
        <v>92</v>
      </c>
      <c r="H10" s="63"/>
      <c r="I10" s="63"/>
      <c r="J10" s="63"/>
      <c r="K10" s="63" t="s">
        <v>93</v>
      </c>
      <c r="L10" s="63"/>
      <c r="M10" s="63"/>
      <c r="N10" s="63"/>
    </row>
    <row r="11" spans="2:14" x14ac:dyDescent="0.3">
      <c r="B11" s="100" t="s">
        <v>55</v>
      </c>
      <c r="C11" s="100"/>
      <c r="D11" s="100"/>
      <c r="E11" s="100"/>
      <c r="F11" s="100"/>
      <c r="G11" s="98" t="s">
        <v>120</v>
      </c>
      <c r="H11" s="98"/>
      <c r="I11" s="98"/>
      <c r="J11" s="98"/>
      <c r="K11" s="70" t="s">
        <v>56</v>
      </c>
      <c r="L11" s="70"/>
      <c r="M11" s="70"/>
      <c r="N11" s="70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70"/>
      <c r="L12" s="70"/>
      <c r="M12" s="70"/>
      <c r="N12" s="70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70"/>
      <c r="L13" s="70"/>
      <c r="M13" s="70"/>
      <c r="N13" s="70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70"/>
      <c r="L14" s="70"/>
      <c r="M14" s="70"/>
      <c r="N14" s="70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70"/>
      <c r="L15" s="70"/>
      <c r="M15" s="70"/>
      <c r="N15" s="70"/>
    </row>
    <row r="16" spans="2:14" x14ac:dyDescent="0.3">
      <c r="B16" s="63" t="s">
        <v>96</v>
      </c>
      <c r="C16" s="63"/>
      <c r="D16" s="63"/>
      <c r="E16" s="63"/>
      <c r="F16" s="63"/>
      <c r="G16" s="63" t="s">
        <v>97</v>
      </c>
      <c r="H16" s="63"/>
      <c r="I16" s="63"/>
      <c r="J16" s="63"/>
      <c r="K16" s="63" t="s">
        <v>98</v>
      </c>
      <c r="L16" s="63"/>
      <c r="M16" s="63"/>
      <c r="N16" s="63"/>
    </row>
    <row r="17" spans="2:14" x14ac:dyDescent="0.3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104">
        <v>46122.546527777777</v>
      </c>
      <c r="L17" s="105"/>
      <c r="M17" s="105"/>
      <c r="N17" s="106"/>
    </row>
    <row r="18" spans="2:14" x14ac:dyDescent="0.3">
      <c r="B18" s="73" t="s">
        <v>99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spans="2:14" x14ac:dyDescent="0.3">
      <c r="B19" s="76" t="s">
        <v>100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2:14" x14ac:dyDescent="0.3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x14ac:dyDescent="0.3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2:14" x14ac:dyDescent="0.3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4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2026-04-10T15:39:31Z</dcterms:modified>
  <cp:category/>
  <cp:contentStatus/>
</cp:coreProperties>
</file>