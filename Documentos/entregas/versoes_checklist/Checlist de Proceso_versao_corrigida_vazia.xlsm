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pucpredu-my.sharepoint.com/personal/domingues_mateus_pucpr_edu_br/Documents/A-4periodoBES/qualidade de software/Documentos/CHECKLIST/"/>
    </mc:Choice>
  </mc:AlternateContent>
  <xr:revisionPtr revIDLastSave="1" documentId="8_{F865E2FF-7C80-4B21-B18E-8CD5ACCCACC0}" xr6:coauthVersionLast="47" xr6:coauthVersionMax="47" xr10:uidLastSave="{8B2B5A86-7358-47BB-8165-560F4FAD03CC}"/>
  <bookViews>
    <workbookView minimized="1" xWindow="2232" yWindow="2232" windowWidth="17280" windowHeight="8880" xr2:uid="{00000000-000D-0000-FFFF-FFFF00000000}"/>
  </bookViews>
  <sheets>
    <sheet name="CHECKLIST V1.0" sheetId="2" r:id="rId1"/>
    <sheet name="EMAIL_NAO_CONFORMIDADE" sheetId="3" r:id="rId2"/>
  </sheets>
  <definedNames>
    <definedName name="_xlnm._FilterDatabase" localSheetId="0" hidden="1">'CHECKLIST V1.0'!$A$1:$M$88</definedName>
    <definedName name="_xleta.AND" hidden="1" xlm="1">#NAME?</definedName>
    <definedName name="_xleta.IF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1" i="2" l="1" a="1"/>
  <c r="I41" i="2" s="1"/>
  <c r="F38" i="2" l="1"/>
  <c r="F37" i="2"/>
  <c r="G3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<sst xmlns="http://schemas.openxmlformats.org/spreadsheetml/2006/main" count="104" uniqueCount="81">
  <si>
    <t>Numero</t>
  </si>
  <si>
    <t>secao documento</t>
  </si>
  <si>
    <t>Descricao</t>
  </si>
  <si>
    <t>classificacao NC</t>
  </si>
  <si>
    <t>Prazo Resolucao</t>
  </si>
  <si>
    <t>Acao Corretiva</t>
  </si>
  <si>
    <t>Foi Resolvido?</t>
  </si>
  <si>
    <t>Capa</t>
  </si>
  <si>
    <t>Foi inserido os nomes do Autores?</t>
  </si>
  <si>
    <t>Foi inserido o nome do Produto de Software?</t>
  </si>
  <si>
    <t>Artefato 1</t>
  </si>
  <si>
    <t>Na tabela (Quadro "3 objetivos") o campo NOME Do PRODUTO foi preenchido?</t>
  </si>
  <si>
    <t>Na tabela (Quadro "3 objetivos") Todas os  tres campos da coluna descricao foram preenchidos ?</t>
  </si>
  <si>
    <t>Artefato 2</t>
  </si>
  <si>
    <t>Na tabela (Quadro “é – não é – faz – não faz”) o campo NOME Do PRODUTO foi preenchido?</t>
  </si>
  <si>
    <t>Na tabela (Quadro “é – não é – faz – não faz”) o campo (É) foi preenchido?</t>
  </si>
  <si>
    <t>Na tabela (Quadro “é – não é – faz – não faz”) o campo ( Não É) foi preenchido?</t>
  </si>
  <si>
    <t>Na tabela (Quadro “é – não é – faz – não faz”) o campo (Faz) foi preenchido?</t>
  </si>
  <si>
    <t>Na tabela (Quadro “é – não é – faz – não faz”) o campo (Não faz) foi preenchido?</t>
  </si>
  <si>
    <t>Artefato 3</t>
  </si>
  <si>
    <t>Na tabela ( Quadro “Visão de Produto”) o campo NOME Do PRODUTO foi preenchido?</t>
  </si>
  <si>
    <t>Na tabela ( Quadro “Visão de Produto”) o campo CLIENTE-ALVO foi preenchido?</t>
  </si>
  <si>
    <t>Na tabela ( Quadro “Visão de Produto”) o campo CATEGORIA-SEGMENTO foi preenchido?</t>
  </si>
  <si>
    <t>Na tabela ( Quadro “Visão de Produto”) o campo BENEFÍCIO-CHAVE foi preenchido?</t>
  </si>
  <si>
    <t>Na tabela ( Quadro “Visão de Produto”) o campo DIFERENCIADO-CHAVE foi preenchido?</t>
  </si>
  <si>
    <t>Na tabela ( Quadro “Visão de Produto”) o campo META-VALOR foi preenchido?</t>
  </si>
  <si>
    <t>Artefato 4</t>
  </si>
  <si>
    <t>Na tabela ( "PRODUCT BACKLOG BUILDING") o campo PRODUCT NAME foi preenchido?</t>
  </si>
  <si>
    <t>Na tabela ( "PRODUCT BACKLOG BUILDING") o campo PROBLEMS foi preenchido?</t>
  </si>
  <si>
    <t>Na tabela ( "PRODUCT BACKLOG BUILDING") o campo PERSONAS foi preenchido?</t>
  </si>
  <si>
    <t>Na tabela ( "PRODUCT BACKLOG BUILDING") o campo FEATURES foi preenchido?</t>
  </si>
  <si>
    <t>Na tabela ( "PRODUCT BACKLOG BUILDING") o campo EXPECTATIONS foi preenchido?</t>
  </si>
  <si>
    <t>Na tabela ( "PRODUCT BACKLOG BUILDING") o campo PBI:PRODUCT BACKLOH ITENS foi preenchido?</t>
  </si>
  <si>
    <t>Artefato 5</t>
  </si>
  <si>
    <t>Nas tabelas ("HISTORIA DO USUARIO"): o campo PBI foi preenchido?</t>
  </si>
  <si>
    <t>Nas tabelas ("HISTORIA DO USUARIO"): no campo COMO/POSSO/PARA foram preenchidos o COMO?</t>
  </si>
  <si>
    <t>Nas tabelas ("HISTORIA DO USUARIO"): no campo COMO/POSSO/PARA foram preenchidos o POSSO?</t>
  </si>
  <si>
    <t>Nas tabelas ("HISTORIA DO USUARIO"): no campo COMO/POSSO/PARA foram preenchidos o PARA?</t>
  </si>
  <si>
    <t>Nas tabelas ("HISTORIA DO USUARIO"): o campo dos CRITERIOS DE ACEITE foram preenchidos com DADO QUE?</t>
  </si>
  <si>
    <t>Nas tabelas ("HISTORIA DO USUARIO"):  o campo dos CRITERIOS DE ACEITE foram preenchidos com QUANDO?</t>
  </si>
  <si>
    <t>Nas tabelas ("HISTORIA DO USUARIO"): o campo dos CRITERIOS DE ACEITE foram preenchidos com ENTAO?</t>
  </si>
  <si>
    <t>Artefato 6</t>
  </si>
  <si>
    <t>Foi inserido uma ou mais figuras com o MODELO RELACIONAL ?</t>
  </si>
  <si>
    <t>Artefato 7</t>
  </si>
  <si>
    <t>Caso exista o DIAGRAMA DE CLASSES, foi inserido uma ou mais figuras?</t>
  </si>
  <si>
    <t>Artefato 8</t>
  </si>
  <si>
    <t>Foi inserido uma ou mais figuras com o DIAGRAMA DE ATIVIDADES ?</t>
  </si>
  <si>
    <t>Referencias Bibliograficas</t>
  </si>
  <si>
    <t>Foram inseridas as referencias Bibliograficas?</t>
  </si>
  <si>
    <t>N° total de NCF</t>
  </si>
  <si>
    <t>Aderência</t>
  </si>
  <si>
    <t>Advertência | Não se aplica</t>
  </si>
  <si>
    <t>0-60%</t>
  </si>
  <si>
    <t>Baixa |</t>
  </si>
  <si>
    <t>N° de pontos de avaliação</t>
  </si>
  <si>
    <t>61-90%</t>
  </si>
  <si>
    <t xml:space="preserve">Media | </t>
  </si>
  <si>
    <t>91-100%</t>
  </si>
  <si>
    <t>Alta |</t>
  </si>
  <si>
    <t>Aderência ao Processo</t>
  </si>
  <si>
    <t>Solicitação de não confromidade</t>
  </si>
  <si>
    <t>projeto</t>
  </si>
  <si>
    <t>responsavel pela resolucao</t>
  </si>
  <si>
    <t>data da 1 resolucao</t>
  </si>
  <si>
    <t>data resolucao</t>
  </si>
  <si>
    <t>numero escalonamento</t>
  </si>
  <si>
    <t>reponsavel por qa</t>
  </si>
  <si>
    <t>Mateus Domingues</t>
  </si>
  <si>
    <t>Classificacao</t>
  </si>
  <si>
    <t>Acao corretiva indicada</t>
  </si>
  <si>
    <t>Historico de escalonamento</t>
  </si>
  <si>
    <t>superior responsavel</t>
  </si>
  <si>
    <t>prazo resolucao</t>
  </si>
  <si>
    <t>Observacoes</t>
  </si>
  <si>
    <t>...</t>
  </si>
  <si>
    <t>Resultado</t>
  </si>
  <si>
    <t>data e hora da identificacao da NC</t>
  </si>
  <si>
    <t>Responsavel pela resolucao</t>
  </si>
  <si>
    <t>data e hora de escalonamento</t>
  </si>
  <si>
    <t>data e hora da conclusao da NC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</si>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</sst>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d/m/yy\ h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CAAE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DC7"/>
        <bgColor indexed="64"/>
      </patternFill>
    </fill>
    <fill>
      <patternFill patternType="solid">
        <fgColor rgb="FFFCF67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justify" vertical="center"/>
    </xf>
    <xf numFmtId="0" fontId="2" fillId="0" borderId="0" xfId="0" applyFont="1" applyAlignment="1">
      <alignment wrapText="1"/>
    </xf>
    <xf numFmtId="0" fontId="0" fillId="0" borderId="4" xfId="0" applyBorder="1" applyAlignment="1">
      <alignment horizontal="center"/>
    </xf>
    <xf numFmtId="0" fontId="3" fillId="0" borderId="4" xfId="0" applyFont="1" applyBorder="1" applyAlignment="1">
      <alignment horizontal="justify" vertical="center"/>
    </xf>
    <xf numFmtId="0" fontId="0" fillId="0" borderId="4" xfId="0" applyBorder="1" applyAlignment="1">
      <alignment wrapText="1"/>
    </xf>
    <xf numFmtId="0" fontId="0" fillId="0" borderId="5" xfId="0" applyBorder="1" applyAlignment="1">
      <alignment horizontal="center"/>
    </xf>
    <xf numFmtId="0" fontId="3" fillId="0" borderId="5" xfId="0" applyFont="1" applyBorder="1" applyAlignment="1">
      <alignment horizontal="justify" vertical="center"/>
    </xf>
    <xf numFmtId="0" fontId="0" fillId="0" borderId="5" xfId="0" applyBorder="1" applyAlignment="1">
      <alignment wrapTex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4" borderId="4" xfId="0" applyFill="1" applyBorder="1" applyAlignment="1">
      <alignment wrapText="1"/>
    </xf>
    <xf numFmtId="0" fontId="1" fillId="0" borderId="18" xfId="0" applyFont="1" applyBorder="1"/>
    <xf numFmtId="0" fontId="0" fillId="5" borderId="18" xfId="0" applyFill="1" applyBorder="1" applyAlignment="1">
      <alignment horizontal="center" vertical="center"/>
    </xf>
    <xf numFmtId="0" fontId="7" fillId="6" borderId="1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7" fillId="9" borderId="18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18" xfId="0" applyBorder="1"/>
    <xf numFmtId="9" fontId="8" fillId="0" borderId="18" xfId="0" applyNumberFormat="1" applyFont="1" applyBorder="1"/>
    <xf numFmtId="0" fontId="0" fillId="0" borderId="0" xfId="0" applyAlignment="1">
      <alignment vertical="center"/>
    </xf>
    <xf numFmtId="0" fontId="5" fillId="4" borderId="4" xfId="0" applyFont="1" applyFill="1" applyBorder="1" applyAlignment="1">
      <alignment wrapText="1"/>
    </xf>
    <xf numFmtId="0" fontId="1" fillId="10" borderId="1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justify" vertical="center"/>
    </xf>
    <xf numFmtId="0" fontId="1" fillId="10" borderId="1" xfId="0" applyFont="1" applyFill="1" applyBorder="1" applyAlignment="1">
      <alignment wrapText="1"/>
    </xf>
    <xf numFmtId="0" fontId="1" fillId="10" borderId="2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 wrapText="1" shrinkToFit="1"/>
    </xf>
    <xf numFmtId="0" fontId="1" fillId="10" borderId="23" xfId="0" applyFont="1" applyFill="1" applyBorder="1" applyAlignment="1">
      <alignment horizontal="center"/>
    </xf>
    <xf numFmtId="0" fontId="1" fillId="10" borderId="24" xfId="0" applyFont="1" applyFill="1" applyBorder="1" applyAlignment="1">
      <alignment horizontal="center"/>
    </xf>
    <xf numFmtId="164" fontId="1" fillId="10" borderId="2" xfId="0" applyNumberFormat="1" applyFont="1" applyFill="1" applyBorder="1" applyAlignment="1">
      <alignment horizontal="center" wrapText="1"/>
    </xf>
    <xf numFmtId="164" fontId="0" fillId="5" borderId="18" xfId="0" applyNumberFormat="1" applyFill="1" applyBorder="1" applyAlignment="1">
      <alignment horizontal="center"/>
    </xf>
    <xf numFmtId="164" fontId="0" fillId="8" borderId="19" xfId="0" applyNumberFormat="1" applyFill="1" applyBorder="1" applyAlignment="1">
      <alignment horizontal="center"/>
    </xf>
    <xf numFmtId="164" fontId="0" fillId="8" borderId="20" xfId="0" applyNumberFormat="1" applyFill="1" applyBorder="1" applyAlignment="1">
      <alignment horizontal="center"/>
    </xf>
    <xf numFmtId="164" fontId="0" fillId="8" borderId="21" xfId="0" applyNumberForma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center"/>
    </xf>
    <xf numFmtId="165" fontId="1" fillId="10" borderId="1" xfId="0" applyNumberFormat="1" applyFont="1" applyFill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1" fillId="10" borderId="22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7" fillId="9" borderId="17" xfId="0" applyFont="1" applyFill="1" applyBorder="1" applyAlignment="1">
      <alignment horizontal="center"/>
    </xf>
    <xf numFmtId="0" fontId="7" fillId="9" borderId="18" xfId="0" applyFont="1" applyFill="1" applyBorder="1" applyAlignment="1">
      <alignment horizontal="center"/>
    </xf>
    <xf numFmtId="0" fontId="0" fillId="3" borderId="19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6" fillId="0" borderId="18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5" borderId="18" xfId="0" applyFill="1" applyBorder="1" applyAlignment="1">
      <alignment horizontal="left"/>
    </xf>
    <xf numFmtId="0" fontId="0" fillId="7" borderId="18" xfId="0" applyFill="1" applyBorder="1" applyAlignment="1">
      <alignment horizontal="left"/>
    </xf>
    <xf numFmtId="0" fontId="0" fillId="0" borderId="18" xfId="0" applyBorder="1" applyAlignment="1">
      <alignment horizontal="center"/>
    </xf>
    <xf numFmtId="0" fontId="0" fillId="8" borderId="18" xfId="0" applyFill="1" applyBorder="1" applyAlignment="1">
      <alignment horizontal="left"/>
    </xf>
    <xf numFmtId="0" fontId="0" fillId="2" borderId="4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wrapText="1"/>
    </xf>
    <xf numFmtId="14" fontId="0" fillId="0" borderId="7" xfId="0" applyNumberFormat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</cellXfs>
  <cellStyles count="1">
    <cellStyle name="Normal" xfId="0" builtinId="0"/>
  </cellStyles>
  <dxfs count="12"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theme="1" tint="4.9989318521683403E-2"/>
      </font>
      <fill>
        <patternFill patternType="solid"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E684E8"/>
      <color rgb="FFFFFDC7"/>
      <color rgb="FFF5F3A6"/>
      <color rgb="FFFCF67C"/>
      <color rgb="FFF7C877"/>
      <color rgb="FFF2A922"/>
      <color rgb="FFF06429"/>
      <color rgb="FFFF8800"/>
      <color rgb="FFFF9696"/>
      <color rgb="FFEB54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BCBE4-A1E9-46FD-814B-80DFFEF3498D}">
  <sheetPr codeName="Planilha1"/>
  <dimension ref="A1:M45"/>
  <sheetViews>
    <sheetView tabSelected="1" topLeftCell="A36" workbookViewId="0">
      <selection activeCell="I41" sqref="I41"/>
    </sheetView>
  </sheetViews>
  <sheetFormatPr defaultColWidth="8.88671875" defaultRowHeight="14.4" x14ac:dyDescent="0.3"/>
  <cols>
    <col min="1" max="1" width="7.6640625" style="3" customWidth="1"/>
    <col min="2" max="2" width="16.5546875" style="4" customWidth="1"/>
    <col min="3" max="3" width="33.5546875" style="1" customWidth="1"/>
    <col min="4" max="4" width="13.109375" style="3" customWidth="1"/>
    <col min="5" max="5" width="35.5546875" style="37" customWidth="1"/>
    <col min="6" max="6" width="17.88671875" style="3" customWidth="1"/>
    <col min="7" max="7" width="24.21875" style="42" customWidth="1"/>
    <col min="8" max="8" width="20.109375" style="3" customWidth="1"/>
    <col min="9" max="9" width="19.88671875" style="3" customWidth="1"/>
    <col min="10" max="10" width="16.88671875" style="3" customWidth="1"/>
    <col min="11" max="11" width="31.33203125" style="42" bestFit="1" customWidth="1"/>
    <col min="12" max="12" width="32.33203125" style="3" bestFit="1" customWidth="1"/>
    <col min="13" max="13" width="10.44140625" style="3" bestFit="1" customWidth="1"/>
    <col min="14" max="14" width="8.88671875" style="3"/>
    <col min="15" max="15" width="18.5546875" style="3" bestFit="1" customWidth="1"/>
    <col min="16" max="16384" width="8.88671875" style="3"/>
  </cols>
  <sheetData>
    <row r="1" spans="1:13" s="2" customFormat="1" ht="29.25" customHeight="1" thickBot="1" x14ac:dyDescent="0.35">
      <c r="A1" s="25" t="s">
        <v>0</v>
      </c>
      <c r="B1" s="26" t="s">
        <v>1</v>
      </c>
      <c r="C1" s="27" t="s">
        <v>2</v>
      </c>
      <c r="D1" s="28" t="s">
        <v>75</v>
      </c>
      <c r="E1" s="32" t="s">
        <v>76</v>
      </c>
      <c r="F1" s="28" t="s">
        <v>3</v>
      </c>
      <c r="G1" s="39" t="s">
        <v>4</v>
      </c>
      <c r="H1" s="29" t="s">
        <v>77</v>
      </c>
      <c r="I1" s="28" t="s">
        <v>5</v>
      </c>
      <c r="J1" s="25" t="s">
        <v>6</v>
      </c>
      <c r="K1" s="43" t="s">
        <v>78</v>
      </c>
      <c r="L1" s="30" t="s">
        <v>79</v>
      </c>
      <c r="M1" s="31" t="s">
        <v>80</v>
      </c>
    </row>
    <row r="2" spans="1:13" x14ac:dyDescent="0.3">
      <c r="A2" s="9">
        <v>1</v>
      </c>
      <c r="B2" s="10" t="s">
        <v>7</v>
      </c>
      <c r="C2" s="11" t="s">
        <v>8</v>
      </c>
      <c r="D2" s="9"/>
      <c r="E2" s="38"/>
      <c r="F2" s="9"/>
      <c r="G2" s="38"/>
      <c r="H2" s="9"/>
      <c r="I2" s="12"/>
      <c r="J2" s="40"/>
      <c r="K2" s="40"/>
      <c r="L2" s="6"/>
      <c r="M2" s="6"/>
    </row>
    <row r="3" spans="1:13" ht="28.8" x14ac:dyDescent="0.3">
      <c r="A3" s="9">
        <v>2</v>
      </c>
      <c r="B3" s="7" t="s">
        <v>7</v>
      </c>
      <c r="C3" s="8" t="s">
        <v>9</v>
      </c>
      <c r="D3" s="6"/>
      <c r="E3" s="38"/>
      <c r="F3" s="6"/>
      <c r="G3" s="38"/>
      <c r="H3" s="6"/>
      <c r="I3" s="13"/>
      <c r="J3" s="40"/>
      <c r="K3" s="40"/>
      <c r="L3" s="6"/>
      <c r="M3" s="6"/>
    </row>
    <row r="4" spans="1:13" ht="43.2" x14ac:dyDescent="0.3">
      <c r="A4" s="9">
        <v>3</v>
      </c>
      <c r="B4" s="7" t="s">
        <v>10</v>
      </c>
      <c r="C4" s="8" t="s">
        <v>11</v>
      </c>
      <c r="D4" s="6"/>
      <c r="E4" s="38"/>
      <c r="F4" s="6"/>
      <c r="G4" s="40"/>
      <c r="H4" s="6"/>
      <c r="I4" s="13"/>
      <c r="J4" s="40"/>
      <c r="K4" s="40"/>
      <c r="L4" s="6"/>
      <c r="M4" s="6"/>
    </row>
    <row r="5" spans="1:13" ht="43.2" x14ac:dyDescent="0.3">
      <c r="A5" s="9">
        <v>4</v>
      </c>
      <c r="B5" s="7" t="s">
        <v>10</v>
      </c>
      <c r="C5" s="14" t="s">
        <v>12</v>
      </c>
      <c r="D5" s="6"/>
      <c r="E5" s="38"/>
      <c r="F5" s="6"/>
      <c r="G5" s="40"/>
      <c r="H5" s="6"/>
      <c r="I5" s="13"/>
      <c r="J5" s="40"/>
      <c r="K5" s="40"/>
      <c r="L5" s="6"/>
      <c r="M5" s="6"/>
    </row>
    <row r="6" spans="1:13" ht="43.2" x14ac:dyDescent="0.3">
      <c r="A6" s="9">
        <v>5</v>
      </c>
      <c r="B6" s="7" t="s">
        <v>13</v>
      </c>
      <c r="C6" s="8" t="s">
        <v>14</v>
      </c>
      <c r="D6" s="6"/>
      <c r="E6" s="38"/>
      <c r="F6" s="6"/>
      <c r="G6" s="40"/>
      <c r="H6" s="6"/>
      <c r="I6" s="13"/>
      <c r="J6" s="40"/>
      <c r="K6" s="40"/>
      <c r="L6" s="6"/>
      <c r="M6" s="6"/>
    </row>
    <row r="7" spans="1:13" ht="28.8" x14ac:dyDescent="0.3">
      <c r="A7" s="9">
        <v>6</v>
      </c>
      <c r="B7" s="7" t="s">
        <v>13</v>
      </c>
      <c r="C7" s="8" t="s">
        <v>15</v>
      </c>
      <c r="D7" s="6"/>
      <c r="E7" s="38"/>
      <c r="F7" s="6"/>
      <c r="G7" s="40"/>
      <c r="H7" s="6"/>
      <c r="I7" s="13"/>
      <c r="J7" s="40"/>
      <c r="K7" s="40"/>
      <c r="L7" s="6"/>
      <c r="M7" s="6"/>
    </row>
    <row r="8" spans="1:13" ht="43.2" x14ac:dyDescent="0.3">
      <c r="A8" s="9">
        <v>7</v>
      </c>
      <c r="B8" s="7" t="s">
        <v>13</v>
      </c>
      <c r="C8" s="8" t="s">
        <v>16</v>
      </c>
      <c r="D8" s="6"/>
      <c r="E8" s="38"/>
      <c r="F8" s="6"/>
      <c r="G8" s="40"/>
      <c r="H8" s="6"/>
      <c r="I8" s="13"/>
      <c r="J8" s="40"/>
      <c r="K8" s="40"/>
      <c r="L8" s="6"/>
      <c r="M8" s="6"/>
    </row>
    <row r="9" spans="1:13" ht="43.2" x14ac:dyDescent="0.3">
      <c r="A9" s="9">
        <v>8</v>
      </c>
      <c r="B9" s="7" t="s">
        <v>13</v>
      </c>
      <c r="C9" s="8" t="s">
        <v>17</v>
      </c>
      <c r="D9" s="6"/>
      <c r="E9" s="38"/>
      <c r="F9" s="6"/>
      <c r="G9" s="40"/>
      <c r="H9" s="6"/>
      <c r="I9" s="13"/>
      <c r="J9" s="40"/>
      <c r="K9" s="40"/>
      <c r="L9" s="6"/>
      <c r="M9" s="6"/>
    </row>
    <row r="10" spans="1:13" ht="43.2" x14ac:dyDescent="0.3">
      <c r="A10" s="9">
        <v>9</v>
      </c>
      <c r="B10" s="7" t="s">
        <v>13</v>
      </c>
      <c r="C10" s="8" t="s">
        <v>18</v>
      </c>
      <c r="D10" s="6"/>
      <c r="E10" s="38"/>
      <c r="F10" s="6"/>
      <c r="G10" s="40"/>
      <c r="H10" s="6"/>
      <c r="I10" s="13"/>
      <c r="J10" s="40"/>
      <c r="K10" s="40"/>
      <c r="L10" s="6"/>
      <c r="M10" s="6"/>
    </row>
    <row r="11" spans="1:13" ht="43.2" x14ac:dyDescent="0.3">
      <c r="A11" s="9">
        <v>10</v>
      </c>
      <c r="B11" s="7" t="s">
        <v>19</v>
      </c>
      <c r="C11" s="8" t="s">
        <v>20</v>
      </c>
      <c r="D11" s="6"/>
      <c r="E11" s="38"/>
      <c r="F11" s="6"/>
      <c r="G11" s="40"/>
      <c r="H11" s="6"/>
      <c r="I11" s="13"/>
      <c r="J11" s="40"/>
      <c r="K11" s="40"/>
      <c r="L11" s="6"/>
      <c r="M11" s="6"/>
    </row>
    <row r="12" spans="1:13" ht="43.2" x14ac:dyDescent="0.3">
      <c r="A12" s="9">
        <v>11</v>
      </c>
      <c r="B12" s="7" t="s">
        <v>19</v>
      </c>
      <c r="C12" s="8" t="s">
        <v>21</v>
      </c>
      <c r="D12" s="6"/>
      <c r="E12" s="38"/>
      <c r="F12" s="6"/>
      <c r="G12" s="40"/>
      <c r="H12" s="6"/>
      <c r="I12" s="13"/>
      <c r="J12" s="40"/>
      <c r="K12" s="40"/>
      <c r="L12" s="6"/>
      <c r="M12" s="6"/>
    </row>
    <row r="13" spans="1:13" ht="66.75" customHeight="1" x14ac:dyDescent="0.3">
      <c r="A13" s="9">
        <v>12</v>
      </c>
      <c r="B13" s="7" t="s">
        <v>19</v>
      </c>
      <c r="C13" s="8" t="s">
        <v>22</v>
      </c>
      <c r="D13" s="6"/>
      <c r="E13" s="38"/>
      <c r="F13" s="6"/>
      <c r="G13" s="40"/>
      <c r="H13" s="6"/>
      <c r="I13" s="13"/>
      <c r="J13" s="40"/>
      <c r="K13" s="40"/>
      <c r="L13" s="6"/>
      <c r="M13" s="6"/>
    </row>
    <row r="14" spans="1:13" ht="43.2" x14ac:dyDescent="0.3">
      <c r="A14" s="9">
        <v>13</v>
      </c>
      <c r="B14" s="7" t="s">
        <v>19</v>
      </c>
      <c r="C14" s="8" t="s">
        <v>23</v>
      </c>
      <c r="D14" s="6"/>
      <c r="E14" s="38"/>
      <c r="F14" s="6"/>
      <c r="G14" s="40"/>
      <c r="H14" s="6"/>
      <c r="I14" s="13"/>
      <c r="J14" s="40"/>
      <c r="K14" s="40"/>
      <c r="L14" s="6"/>
      <c r="M14" s="6"/>
    </row>
    <row r="15" spans="1:13" ht="43.2" x14ac:dyDescent="0.3">
      <c r="A15" s="9">
        <v>14</v>
      </c>
      <c r="B15" s="7" t="s">
        <v>19</v>
      </c>
      <c r="C15" s="8" t="s">
        <v>24</v>
      </c>
      <c r="D15" s="6"/>
      <c r="E15" s="38"/>
      <c r="F15" s="6"/>
      <c r="G15" s="40"/>
      <c r="H15" s="6"/>
      <c r="I15" s="13"/>
      <c r="J15" s="40"/>
      <c r="K15" s="40"/>
      <c r="L15" s="6"/>
      <c r="M15" s="6"/>
    </row>
    <row r="16" spans="1:13" ht="43.2" x14ac:dyDescent="0.3">
      <c r="A16" s="9">
        <v>15</v>
      </c>
      <c r="B16" s="7" t="s">
        <v>19</v>
      </c>
      <c r="C16" s="8" t="s">
        <v>25</v>
      </c>
      <c r="D16" s="6"/>
      <c r="E16" s="38"/>
      <c r="F16" s="6"/>
      <c r="G16" s="40"/>
      <c r="H16" s="6"/>
      <c r="I16" s="13"/>
      <c r="J16" s="40"/>
      <c r="K16" s="40"/>
      <c r="L16" s="6"/>
      <c r="M16" s="6"/>
    </row>
    <row r="17" spans="1:13" ht="43.2" x14ac:dyDescent="0.3">
      <c r="A17" s="9">
        <v>16</v>
      </c>
      <c r="B17" s="7" t="s">
        <v>26</v>
      </c>
      <c r="C17" s="8" t="s">
        <v>27</v>
      </c>
      <c r="D17" s="6"/>
      <c r="E17" s="38"/>
      <c r="F17" s="6"/>
      <c r="G17" s="40"/>
      <c r="H17" s="6"/>
      <c r="I17" s="13"/>
      <c r="J17" s="40"/>
      <c r="K17" s="40"/>
      <c r="L17" s="6"/>
      <c r="M17" s="6"/>
    </row>
    <row r="18" spans="1:13" ht="43.2" x14ac:dyDescent="0.3">
      <c r="A18" s="9">
        <v>17</v>
      </c>
      <c r="B18" s="7" t="s">
        <v>26</v>
      </c>
      <c r="C18" s="8" t="s">
        <v>28</v>
      </c>
      <c r="D18" s="6"/>
      <c r="E18" s="38"/>
      <c r="F18" s="6"/>
      <c r="G18" s="40"/>
      <c r="H18" s="6"/>
      <c r="I18" s="13"/>
      <c r="J18" s="40"/>
      <c r="K18" s="40"/>
      <c r="L18" s="6"/>
      <c r="M18" s="6"/>
    </row>
    <row r="19" spans="1:13" ht="43.2" x14ac:dyDescent="0.3">
      <c r="A19" s="9">
        <v>18</v>
      </c>
      <c r="B19" s="7" t="s">
        <v>26</v>
      </c>
      <c r="C19" s="8" t="s">
        <v>29</v>
      </c>
      <c r="D19" s="6"/>
      <c r="E19" s="38"/>
      <c r="F19" s="6"/>
      <c r="G19" s="40"/>
      <c r="H19" s="6"/>
      <c r="I19" s="13"/>
      <c r="J19" s="40"/>
      <c r="K19" s="40"/>
      <c r="L19" s="6"/>
      <c r="M19" s="6"/>
    </row>
    <row r="20" spans="1:13" ht="43.2" x14ac:dyDescent="0.3">
      <c r="A20" s="9">
        <v>19</v>
      </c>
      <c r="B20" s="7" t="s">
        <v>26</v>
      </c>
      <c r="C20" s="8" t="s">
        <v>30</v>
      </c>
      <c r="D20" s="6"/>
      <c r="E20" s="38"/>
      <c r="F20" s="6"/>
      <c r="G20" s="40"/>
      <c r="H20" s="6"/>
      <c r="I20" s="13"/>
      <c r="J20" s="40"/>
      <c r="K20" s="40"/>
      <c r="L20" s="6"/>
      <c r="M20" s="6"/>
    </row>
    <row r="21" spans="1:13" ht="43.2" x14ac:dyDescent="0.3">
      <c r="A21" s="9">
        <v>20</v>
      </c>
      <c r="B21" s="7" t="s">
        <v>26</v>
      </c>
      <c r="C21" s="8" t="s">
        <v>31</v>
      </c>
      <c r="D21" s="6"/>
      <c r="E21" s="38"/>
      <c r="F21" s="6"/>
      <c r="G21" s="40"/>
      <c r="H21" s="6"/>
      <c r="I21" s="13"/>
      <c r="J21" s="40"/>
      <c r="K21" s="40"/>
      <c r="L21" s="6"/>
      <c r="M21" s="6"/>
    </row>
    <row r="22" spans="1:13" ht="43.2" x14ac:dyDescent="0.3">
      <c r="A22" s="9">
        <v>21</v>
      </c>
      <c r="B22" s="7" t="s">
        <v>26</v>
      </c>
      <c r="C22" s="8" t="s">
        <v>32</v>
      </c>
      <c r="D22" s="6"/>
      <c r="E22" s="38"/>
      <c r="F22" s="6"/>
      <c r="G22" s="40"/>
      <c r="H22" s="6"/>
      <c r="I22" s="13"/>
      <c r="J22" s="40"/>
      <c r="K22" s="40"/>
      <c r="L22" s="6"/>
      <c r="M22" s="6"/>
    </row>
    <row r="23" spans="1:13" ht="28.8" x14ac:dyDescent="0.3">
      <c r="A23" s="9">
        <v>22</v>
      </c>
      <c r="B23" s="7" t="s">
        <v>33</v>
      </c>
      <c r="C23" s="14" t="s">
        <v>34</v>
      </c>
      <c r="D23" s="6"/>
      <c r="E23" s="38"/>
      <c r="F23" s="6"/>
      <c r="G23" s="40"/>
      <c r="H23" s="6"/>
      <c r="I23" s="13"/>
      <c r="J23" s="40"/>
      <c r="K23" s="40"/>
      <c r="L23" s="6"/>
      <c r="M23" s="6"/>
    </row>
    <row r="24" spans="1:13" ht="43.2" x14ac:dyDescent="0.3">
      <c r="A24" s="9">
        <v>23</v>
      </c>
      <c r="B24" s="7" t="s">
        <v>33</v>
      </c>
      <c r="C24" s="8" t="s">
        <v>35</v>
      </c>
      <c r="D24" s="6"/>
      <c r="E24" s="38"/>
      <c r="F24" s="6"/>
      <c r="G24" s="40"/>
      <c r="H24" s="6"/>
      <c r="I24" s="13"/>
      <c r="J24" s="40"/>
      <c r="K24" s="40"/>
      <c r="L24" s="6"/>
      <c r="M24" s="6"/>
    </row>
    <row r="25" spans="1:13" ht="43.2" x14ac:dyDescent="0.3">
      <c r="A25" s="9">
        <v>24</v>
      </c>
      <c r="B25" s="7" t="s">
        <v>33</v>
      </c>
      <c r="C25" s="8" t="s">
        <v>36</v>
      </c>
      <c r="D25" s="6"/>
      <c r="E25" s="38"/>
      <c r="F25" s="6"/>
      <c r="G25" s="40"/>
      <c r="H25" s="6"/>
      <c r="I25" s="13"/>
      <c r="J25" s="40"/>
      <c r="K25" s="40"/>
      <c r="L25" s="6"/>
      <c r="M25" s="6"/>
    </row>
    <row r="26" spans="1:13" ht="43.2" x14ac:dyDescent="0.3">
      <c r="A26" s="9">
        <v>25</v>
      </c>
      <c r="B26" s="7" t="s">
        <v>33</v>
      </c>
      <c r="C26" s="8" t="s">
        <v>37</v>
      </c>
      <c r="D26" s="6"/>
      <c r="E26" s="38"/>
      <c r="F26" s="6"/>
      <c r="G26" s="40"/>
      <c r="H26" s="6"/>
      <c r="I26" s="13"/>
      <c r="J26" s="40"/>
      <c r="K26" s="40"/>
      <c r="L26" s="6"/>
      <c r="M26" s="6"/>
    </row>
    <row r="27" spans="1:13" ht="43.2" x14ac:dyDescent="0.3">
      <c r="A27" s="9">
        <v>26</v>
      </c>
      <c r="B27" s="7" t="s">
        <v>33</v>
      </c>
      <c r="C27" s="24" t="s">
        <v>38</v>
      </c>
      <c r="D27" s="6"/>
      <c r="E27" s="38"/>
      <c r="F27" s="6"/>
      <c r="G27" s="40"/>
      <c r="H27" s="6"/>
      <c r="I27" s="13"/>
      <c r="J27" s="40"/>
      <c r="K27" s="40"/>
      <c r="L27" s="6"/>
      <c r="M27" s="6"/>
    </row>
    <row r="28" spans="1:13" ht="43.2" x14ac:dyDescent="0.3">
      <c r="A28" s="9">
        <v>27</v>
      </c>
      <c r="B28" s="7" t="s">
        <v>33</v>
      </c>
      <c r="C28" s="14" t="s">
        <v>39</v>
      </c>
      <c r="D28" s="6"/>
      <c r="E28" s="38"/>
      <c r="F28" s="6"/>
      <c r="G28" s="40"/>
      <c r="H28" s="6"/>
      <c r="I28" s="13"/>
      <c r="J28" s="40"/>
      <c r="K28" s="40"/>
      <c r="L28" s="6"/>
      <c r="M28" s="6"/>
    </row>
    <row r="29" spans="1:13" ht="43.2" x14ac:dyDescent="0.3">
      <c r="A29" s="9">
        <v>28</v>
      </c>
      <c r="B29" s="7" t="s">
        <v>33</v>
      </c>
      <c r="C29" s="14" t="s">
        <v>40</v>
      </c>
      <c r="D29" s="6"/>
      <c r="E29" s="38"/>
      <c r="F29" s="6"/>
      <c r="G29" s="40"/>
      <c r="H29" s="6"/>
      <c r="I29" s="13"/>
      <c r="J29" s="40"/>
      <c r="K29" s="40"/>
      <c r="L29" s="6"/>
      <c r="M29" s="6"/>
    </row>
    <row r="30" spans="1:13" ht="28.8" x14ac:dyDescent="0.3">
      <c r="A30" s="9">
        <v>29</v>
      </c>
      <c r="B30" s="7" t="s">
        <v>41</v>
      </c>
      <c r="C30" s="8" t="s">
        <v>42</v>
      </c>
      <c r="D30" s="6"/>
      <c r="E30" s="38"/>
      <c r="F30" s="6"/>
      <c r="G30" s="40"/>
      <c r="H30" s="6"/>
      <c r="I30" s="13"/>
      <c r="J30" s="40"/>
      <c r="K30" s="40"/>
      <c r="L30" s="6"/>
      <c r="M30" s="6"/>
    </row>
    <row r="31" spans="1:13" ht="28.8" x14ac:dyDescent="0.3">
      <c r="A31" s="9">
        <v>30</v>
      </c>
      <c r="B31" s="7" t="s">
        <v>43</v>
      </c>
      <c r="C31" s="14" t="s">
        <v>44</v>
      </c>
      <c r="D31" s="6"/>
      <c r="E31" s="38"/>
      <c r="F31" s="6"/>
      <c r="G31" s="40"/>
      <c r="H31" s="6"/>
      <c r="I31" s="13"/>
      <c r="J31" s="40"/>
      <c r="K31" s="40"/>
      <c r="L31" s="6"/>
      <c r="M31" s="6"/>
    </row>
    <row r="32" spans="1:13" ht="28.8" x14ac:dyDescent="0.3">
      <c r="A32" s="9">
        <v>31</v>
      </c>
      <c r="B32" s="7" t="s">
        <v>45</v>
      </c>
      <c r="C32" s="8" t="s">
        <v>46</v>
      </c>
      <c r="D32" s="6"/>
      <c r="E32" s="38"/>
      <c r="F32" s="6"/>
      <c r="G32" s="40"/>
      <c r="H32" s="6"/>
      <c r="I32" s="13"/>
      <c r="J32" s="40"/>
      <c r="K32" s="40"/>
      <c r="L32" s="6"/>
      <c r="M32" s="6"/>
    </row>
    <row r="33" spans="1:13" ht="28.8" x14ac:dyDescent="0.3">
      <c r="A33" s="9">
        <v>32</v>
      </c>
      <c r="B33" s="7" t="s">
        <v>47</v>
      </c>
      <c r="C33" s="8" t="s">
        <v>48</v>
      </c>
      <c r="D33" s="6"/>
      <c r="E33" s="38"/>
      <c r="F33" s="6"/>
      <c r="G33" s="40"/>
      <c r="H33" s="6"/>
      <c r="I33" s="13"/>
      <c r="J33" s="40"/>
      <c r="K33" s="40"/>
      <c r="L33" s="6"/>
      <c r="M33" s="6"/>
    </row>
    <row r="36" spans="1:13" x14ac:dyDescent="0.3">
      <c r="B36"/>
      <c r="C36" s="20" t="s">
        <v>49</v>
      </c>
      <c r="D36" s="20"/>
      <c r="E36" s="50"/>
      <c r="F36" s="50"/>
      <c r="G36" s="51"/>
      <c r="H36" s="51"/>
      <c r="I36" s="15" t="s">
        <v>50</v>
      </c>
    </row>
    <row r="37" spans="1:13" x14ac:dyDescent="0.3">
      <c r="B37"/>
      <c r="C37" s="52" t="s">
        <v>51</v>
      </c>
      <c r="D37" s="52"/>
      <c r="E37" s="33"/>
      <c r="F37" s="16" t="e">
        <f>#REF!</f>
        <v>#REF!</v>
      </c>
      <c r="G37" s="50" t="e">
        <f>F37</f>
        <v>#REF!</v>
      </c>
      <c r="H37" s="50"/>
      <c r="I37" s="17" t="s">
        <v>52</v>
      </c>
    </row>
    <row r="38" spans="1:13" x14ac:dyDescent="0.3">
      <c r="B38"/>
      <c r="C38" s="53" t="s">
        <v>53</v>
      </c>
      <c r="D38" s="53"/>
      <c r="E38" s="34"/>
      <c r="F38" s="47" t="e">
        <f>SUM(#REF!)</f>
        <v>#REF!</v>
      </c>
      <c r="G38" s="54" t="s">
        <v>54</v>
      </c>
      <c r="H38" s="54"/>
      <c r="I38" s="18" t="s">
        <v>55</v>
      </c>
    </row>
    <row r="39" spans="1:13" x14ac:dyDescent="0.3">
      <c r="B39"/>
      <c r="C39" s="55" t="s">
        <v>56</v>
      </c>
      <c r="D39" s="55"/>
      <c r="E39" s="35"/>
      <c r="F39" s="48"/>
      <c r="G39" s="50">
        <v>30</v>
      </c>
      <c r="H39" s="50"/>
      <c r="I39" s="19" t="s">
        <v>57</v>
      </c>
    </row>
    <row r="40" spans="1:13" x14ac:dyDescent="0.3">
      <c r="B40"/>
      <c r="C40" s="55" t="s">
        <v>58</v>
      </c>
      <c r="D40" s="55"/>
      <c r="E40" s="36"/>
      <c r="F40" s="49"/>
      <c r="G40" s="41"/>
      <c r="H40" s="21"/>
      <c r="I40" s="21"/>
    </row>
    <row r="41" spans="1:13" x14ac:dyDescent="0.3">
      <c r="B41"/>
      <c r="C41" s="44"/>
      <c r="D41" s="44"/>
      <c r="F41" s="23"/>
      <c r="G41" s="45" t="s">
        <v>59</v>
      </c>
      <c r="H41" s="46"/>
      <c r="I41" s="22" t="e" cm="1">
        <f t="array" ref="I41">1 - COUNTIF(D2:D33,"Não")/SUMPRODUCT(--(ISTEXT(D2:D33)), --(D2:D33&lt;&gt;""))</f>
        <v>#DIV/0!</v>
      </c>
    </row>
    <row r="44" spans="1:13" hidden="1" x14ac:dyDescent="0.3"/>
    <row r="45" spans="1:13" hidden="1" x14ac:dyDescent="0.3">
      <c r="C45" s="5"/>
    </row>
  </sheetData>
  <autoFilter ref="A1:M88" xr:uid="{8C4BCBE4-A1E9-46FD-814B-80DFFEF3498D}"/>
  <mergeCells count="12">
    <mergeCell ref="C41:D41"/>
    <mergeCell ref="G41:H41"/>
    <mergeCell ref="F38:F40"/>
    <mergeCell ref="E36:F36"/>
    <mergeCell ref="G36:H36"/>
    <mergeCell ref="C37:D37"/>
    <mergeCell ref="G37:H37"/>
    <mergeCell ref="C38:D38"/>
    <mergeCell ref="G38:H38"/>
    <mergeCell ref="C39:D39"/>
    <mergeCell ref="G39:H39"/>
    <mergeCell ref="C40:D40"/>
  </mergeCells>
  <phoneticPr fontId="4" type="noConversion"/>
  <conditionalFormatting sqref="E42:E1048576 E2:E35">
    <cfRule type="containsText" dxfId="11" priority="8" operator="containsText" text="sim">
      <formula>NOT(ISERROR(SEARCH("sim",E2)))</formula>
    </cfRule>
    <cfRule type="containsText" dxfId="10" priority="9" operator="containsText" text="nao">
      <formula>NOT(ISERROR(SEARCH("nao",E2)))</formula>
    </cfRule>
    <cfRule type="cellIs" dxfId="9" priority="10" operator="equal">
      <formula>"nao conformidade"</formula>
    </cfRule>
    <cfRule type="cellIs" dxfId="8" priority="11" operator="equal">
      <formula>"ok"</formula>
    </cfRule>
  </conditionalFormatting>
  <conditionalFormatting sqref="E42:E87 E2:E35">
    <cfRule type="expression" dxfId="7" priority="12">
      <formula>"ok"</formula>
    </cfRule>
  </conditionalFormatting>
  <conditionalFormatting sqref="I41">
    <cfRule type="expression" dxfId="6" priority="5">
      <formula>AND(I41&gt;=61%,I41&lt;=90%)</formula>
    </cfRule>
    <cfRule type="expression" dxfId="5" priority="6">
      <formula>I41&gt;90%</formula>
    </cfRule>
    <cfRule type="expression" dxfId="4" priority="7">
      <formula>I41&lt;=60%</formula>
    </cfRule>
  </conditionalFormatting>
  <conditionalFormatting sqref="E1">
    <cfRule type="containsText" dxfId="3" priority="1" operator="containsText" text="sim">
      <formula>NOT(ISERROR(SEARCH("sim",E1)))</formula>
    </cfRule>
    <cfRule type="containsText" dxfId="2" priority="2" operator="containsText" text="nao">
      <formula>NOT(ISERROR(SEARCH("nao",E1)))</formula>
    </cfRule>
    <cfRule type="cellIs" dxfId="1" priority="3" operator="equal">
      <formula>"nao conformidade"</formula>
    </cfRule>
    <cfRule type="cellIs" dxfId="0" priority="4" operator="equal">
      <formula>"ok"</formula>
    </cfRule>
  </conditionalFormatting>
  <dataValidations count="6">
    <dataValidation type="list" allowBlank="1" showInputMessage="1" showErrorMessage="1" sqref="F34:F35 F42:F92" xr:uid="{BAF74937-7F3A-4633-81D9-E736E4A4E400}">
      <formula1>"Advertencia,baixa,media,alta,urgente"</formula1>
    </dataValidation>
    <dataValidation type="list" allowBlank="1" showInputMessage="1" showErrorMessage="1" sqref="D2:D35 D42:D92" xr:uid="{8A069E69-913B-4A46-82C4-23D23C457A8C}">
      <formula1>"Sim,Não,não se aplica"</formula1>
    </dataValidation>
    <dataValidation type="list" allowBlank="1" showInputMessage="1" showErrorMessage="1" sqref="F2:F33" xr:uid="{B7A2F41D-64D4-4EB9-8040-EA510C89A5CC}">
      <formula1>"baixa,media,alta"</formula1>
    </dataValidation>
    <dataValidation type="list" allowBlank="1" showInputMessage="1" showErrorMessage="1" sqref="M2:M33" xr:uid="{2D0B25B0-70DE-486E-9D48-7ADA307E68EE}">
      <formula1>"aberto,fechado,fechado por excecao"</formula1>
    </dataValidation>
    <dataValidation type="list" allowBlank="1" showInputMessage="1" showErrorMessage="1" sqref="J34:J87" xr:uid="{49385E11-A38A-47E1-9FB1-4750945AE552}">
      <formula1>"Sim,Nao"</formula1>
    </dataValidation>
    <dataValidation allowBlank="1" showInputMessage="1" showErrorMessage="1" sqref="E37:E41" xr:uid="{F6D66F81-8226-4D5E-9FC3-AD17E4A1364E}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C07C0-5331-47DC-BE1C-66B403C7F810}">
  <sheetPr codeName="Planilha2"/>
  <dimension ref="B3:N22"/>
  <sheetViews>
    <sheetView workbookViewId="0"/>
  </sheetViews>
  <sheetFormatPr defaultRowHeight="14.4" x14ac:dyDescent="0.3"/>
  <sheetData>
    <row r="3" spans="2:14" x14ac:dyDescent="0.3">
      <c r="B3" s="56" t="s">
        <v>60</v>
      </c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</row>
    <row r="4" spans="2:14" x14ac:dyDescent="0.3">
      <c r="B4" s="56" t="s">
        <v>61</v>
      </c>
      <c r="C4" s="56"/>
      <c r="D4" s="56"/>
      <c r="E4" s="56"/>
      <c r="F4" s="56"/>
      <c r="G4" s="61"/>
      <c r="H4" s="61"/>
      <c r="I4" s="61"/>
      <c r="J4" s="61"/>
      <c r="K4" s="61"/>
      <c r="L4" s="61"/>
      <c r="M4" s="61"/>
      <c r="N4" s="61"/>
    </row>
    <row r="5" spans="2:14" x14ac:dyDescent="0.3">
      <c r="B5" s="56" t="s">
        <v>62</v>
      </c>
      <c r="C5" s="56"/>
      <c r="D5" s="56"/>
      <c r="E5" s="56"/>
      <c r="F5" s="56"/>
      <c r="G5" s="57"/>
      <c r="H5" s="58"/>
      <c r="I5" s="58"/>
      <c r="J5" s="58"/>
      <c r="K5" s="58"/>
      <c r="L5" s="58"/>
      <c r="M5" s="58"/>
      <c r="N5" s="59"/>
    </row>
    <row r="6" spans="2:14" x14ac:dyDescent="0.3">
      <c r="B6" s="56" t="s">
        <v>63</v>
      </c>
      <c r="C6" s="56"/>
      <c r="D6" s="56"/>
      <c r="E6" s="56"/>
      <c r="F6" s="56"/>
      <c r="G6" s="60"/>
      <c r="H6" s="61"/>
      <c r="I6" s="56" t="s">
        <v>64</v>
      </c>
      <c r="J6" s="56"/>
      <c r="K6" s="56"/>
      <c r="L6" s="56"/>
      <c r="M6" s="60"/>
      <c r="N6" s="61"/>
    </row>
    <row r="7" spans="2:14" x14ac:dyDescent="0.3">
      <c r="B7" s="56" t="s">
        <v>65</v>
      </c>
      <c r="C7" s="56"/>
      <c r="D7" s="56"/>
      <c r="E7" s="56"/>
      <c r="F7" s="56"/>
      <c r="G7" s="57"/>
      <c r="H7" s="58"/>
      <c r="I7" s="58"/>
      <c r="J7" s="58"/>
      <c r="K7" s="58"/>
      <c r="L7" s="58"/>
      <c r="M7" s="58"/>
      <c r="N7" s="59"/>
    </row>
    <row r="8" spans="2:14" x14ac:dyDescent="0.3">
      <c r="B8" s="56" t="s">
        <v>66</v>
      </c>
      <c r="C8" s="56"/>
      <c r="D8" s="56"/>
      <c r="E8" s="56"/>
      <c r="F8" s="56"/>
      <c r="G8" s="57" t="s">
        <v>67</v>
      </c>
      <c r="H8" s="58"/>
      <c r="I8" s="58"/>
      <c r="J8" s="58"/>
      <c r="K8" s="58"/>
      <c r="L8" s="58"/>
      <c r="M8" s="58"/>
      <c r="N8" s="59"/>
    </row>
    <row r="9" spans="2:14" x14ac:dyDescent="0.3">
      <c r="B9" s="57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9"/>
    </row>
    <row r="10" spans="2:14" x14ac:dyDescent="0.3">
      <c r="B10" s="56" t="s">
        <v>2</v>
      </c>
      <c r="C10" s="56"/>
      <c r="D10" s="56"/>
      <c r="E10" s="56"/>
      <c r="F10" s="56"/>
      <c r="G10" s="56" t="s">
        <v>68</v>
      </c>
      <c r="H10" s="56"/>
      <c r="I10" s="56"/>
      <c r="J10" s="56"/>
      <c r="K10" s="56" t="s">
        <v>69</v>
      </c>
      <c r="L10" s="56"/>
      <c r="M10" s="56"/>
      <c r="N10" s="56"/>
    </row>
    <row r="11" spans="2:14" x14ac:dyDescent="0.3">
      <c r="B11" s="62"/>
      <c r="C11" s="62"/>
      <c r="D11" s="62"/>
      <c r="E11" s="62"/>
      <c r="F11" s="62"/>
      <c r="G11" s="61"/>
      <c r="H11" s="61"/>
      <c r="I11" s="61"/>
      <c r="J11" s="61"/>
      <c r="K11" s="61"/>
      <c r="L11" s="61"/>
      <c r="M11" s="61"/>
      <c r="N11" s="61"/>
    </row>
    <row r="12" spans="2:14" x14ac:dyDescent="0.3">
      <c r="B12" s="62"/>
      <c r="C12" s="62"/>
      <c r="D12" s="62"/>
      <c r="E12" s="62"/>
      <c r="F12" s="62"/>
      <c r="G12" s="61"/>
      <c r="H12" s="61"/>
      <c r="I12" s="61"/>
      <c r="J12" s="61"/>
      <c r="K12" s="61"/>
      <c r="L12" s="61"/>
      <c r="M12" s="61"/>
      <c r="N12" s="61"/>
    </row>
    <row r="13" spans="2:14" x14ac:dyDescent="0.3">
      <c r="B13" s="62"/>
      <c r="C13" s="62"/>
      <c r="D13" s="62"/>
      <c r="E13" s="62"/>
      <c r="F13" s="62"/>
      <c r="G13" s="61"/>
      <c r="H13" s="61"/>
      <c r="I13" s="61"/>
      <c r="J13" s="61"/>
      <c r="K13" s="61"/>
      <c r="L13" s="61"/>
      <c r="M13" s="61"/>
      <c r="N13" s="61"/>
    </row>
    <row r="14" spans="2:14" x14ac:dyDescent="0.3">
      <c r="B14" s="62"/>
      <c r="C14" s="62"/>
      <c r="D14" s="62"/>
      <c r="E14" s="62"/>
      <c r="F14" s="62"/>
      <c r="G14" s="61"/>
      <c r="H14" s="61"/>
      <c r="I14" s="61"/>
      <c r="J14" s="61"/>
      <c r="K14" s="61"/>
      <c r="L14" s="61"/>
      <c r="M14" s="61"/>
      <c r="N14" s="61"/>
    </row>
    <row r="15" spans="2:14" x14ac:dyDescent="0.3">
      <c r="B15" s="62"/>
      <c r="C15" s="62"/>
      <c r="D15" s="62"/>
      <c r="E15" s="62"/>
      <c r="F15" s="62"/>
      <c r="G15" s="61"/>
      <c r="H15" s="61"/>
      <c r="I15" s="61"/>
      <c r="J15" s="61"/>
      <c r="K15" s="61"/>
      <c r="L15" s="61"/>
      <c r="M15" s="61"/>
      <c r="N15" s="61"/>
    </row>
    <row r="16" spans="2:14" x14ac:dyDescent="0.3">
      <c r="B16" s="56" t="s">
        <v>70</v>
      </c>
      <c r="C16" s="56"/>
      <c r="D16" s="56"/>
      <c r="E16" s="56"/>
      <c r="F16" s="56"/>
      <c r="G16" s="56" t="s">
        <v>71</v>
      </c>
      <c r="H16" s="56"/>
      <c r="I16" s="56"/>
      <c r="J16" s="56"/>
      <c r="K16" s="56" t="s">
        <v>72</v>
      </c>
      <c r="L16" s="56"/>
      <c r="M16" s="56"/>
      <c r="N16" s="56"/>
    </row>
    <row r="17" spans="2:14" x14ac:dyDescent="0.3">
      <c r="B17" s="57"/>
      <c r="C17" s="58"/>
      <c r="D17" s="58"/>
      <c r="E17" s="58"/>
      <c r="F17" s="59"/>
      <c r="G17" s="57"/>
      <c r="H17" s="58"/>
      <c r="I17" s="58"/>
      <c r="J17" s="59"/>
      <c r="K17" s="63"/>
      <c r="L17" s="58"/>
      <c r="M17" s="58"/>
      <c r="N17" s="59"/>
    </row>
    <row r="18" spans="2:14" x14ac:dyDescent="0.3">
      <c r="B18" s="64" t="s">
        <v>73</v>
      </c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6"/>
    </row>
    <row r="19" spans="2:14" x14ac:dyDescent="0.3">
      <c r="B19" s="67" t="s">
        <v>74</v>
      </c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9"/>
    </row>
    <row r="20" spans="2:14" x14ac:dyDescent="0.3">
      <c r="B20" s="70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2"/>
    </row>
    <row r="21" spans="2:14" x14ac:dyDescent="0.3">
      <c r="B21" s="70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2"/>
    </row>
    <row r="22" spans="2:14" x14ac:dyDescent="0.3">
      <c r="B22" s="73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5"/>
    </row>
  </sheetData>
  <mergeCells count="28">
    <mergeCell ref="B17:F17"/>
    <mergeCell ref="G17:J17"/>
    <mergeCell ref="K17:N17"/>
    <mergeCell ref="B18:N18"/>
    <mergeCell ref="B19:N22"/>
    <mergeCell ref="B9:N9"/>
    <mergeCell ref="B11:F15"/>
    <mergeCell ref="G11:J15"/>
    <mergeCell ref="K11:N15"/>
    <mergeCell ref="B16:F16"/>
    <mergeCell ref="G16:J16"/>
    <mergeCell ref="K16:N16"/>
    <mergeCell ref="B10:F10"/>
    <mergeCell ref="G10:J10"/>
    <mergeCell ref="K10:N10"/>
    <mergeCell ref="B3:N3"/>
    <mergeCell ref="B4:F4"/>
    <mergeCell ref="G4:N4"/>
    <mergeCell ref="B5:F5"/>
    <mergeCell ref="G5:N5"/>
    <mergeCell ref="B8:F8"/>
    <mergeCell ref="G8:N8"/>
    <mergeCell ref="B6:F6"/>
    <mergeCell ref="G6:H6"/>
    <mergeCell ref="I6:L6"/>
    <mergeCell ref="M6:N6"/>
    <mergeCell ref="B7:F7"/>
    <mergeCell ref="G7:N7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8a1ef6c3-8324-4103-bf4a-1328c5dc3653}" enabled="0" method="" siteId="{8a1ef6c3-8324-4103-bf4a-1328c5dc365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CHECKLIST V1.0</vt:lpstr>
      <vt:lpstr>EMAIL_NAO_CONFORMIDADE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Mateus Vieira Domingues</dc:creator>
  <cp:keywords/>
  <dc:description/>
  <cp:lastModifiedBy>Mateus Vieira Domingues</cp:lastModifiedBy>
  <cp:revision/>
  <dcterms:created xsi:type="dcterms:W3CDTF">2026-03-18T13:15:00Z</dcterms:created>
  <dcterms:modified xsi:type="dcterms:W3CDTF">2026-04-08T14:21:20Z</dcterms:modified>
  <cp:category/>
  <cp:contentStatus/>
</cp:coreProperties>
</file>