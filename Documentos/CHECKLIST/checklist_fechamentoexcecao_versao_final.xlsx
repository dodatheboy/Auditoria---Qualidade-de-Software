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pucpredu-my.sharepoint.com/personal/domingues_mateus_pucpr_edu_br/Documents/A-4periodoBES/qualidade de software/Documentos/CHECKLIST/"/>
    </mc:Choice>
  </mc:AlternateContent>
  <xr:revisionPtr revIDLastSave="0" documentId="8_{F6C77852-86EB-4EBB-8496-F17E8EE29D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 V1.0" sheetId="2" r:id="rId1"/>
    <sheet name="EMAIL_NAO_CONFORMIDADE(1)" sheetId="3" state="hidden" r:id="rId2"/>
    <sheet name="EMAIL_NAO_CONFORMIDADE (2)" sheetId="4" r:id="rId3"/>
    <sheet name="EMAIL_NAO_CONFORMIDADE (3)" sheetId="5" state="hidden" r:id="rId4"/>
    <sheet name="EMAIL_NAO_CONFORMIDADE (4)" sheetId="6" state="hidden" r:id="rId5"/>
    <sheet name="EMAIL_NAO_CONFORMIDADE (5)" sheetId="8" state="hidden" r:id="rId6"/>
    <sheet name="EMAIL_NAO_CONFORMIDADE (6)" sheetId="9" state="hidden" r:id="rId7"/>
    <sheet name="EMAIL_NAO_CONFORMIDADE (7)" sheetId="10" r:id="rId8"/>
  </sheets>
  <definedNames>
    <definedName name="_xlnm._FilterDatabase" localSheetId="0" hidden="1">'CHECKLIST V1.0'!$A$1:$N$88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2" l="1" a="1"/>
  <c r="J41" i="2" s="1"/>
  <c r="E2" i="2" l="1"/>
  <c r="E3" i="2"/>
  <c r="E40" i="2"/>
  <c r="E39" i="2"/>
  <c r="E38" i="2"/>
  <c r="E45" i="2"/>
  <c r="E37" i="2"/>
  <c r="E44" i="2"/>
  <c r="E16" i="2"/>
  <c r="E4" i="2"/>
  <c r="E5" i="2"/>
  <c r="E6" i="2"/>
  <c r="E7" i="2"/>
  <c r="E8" i="2"/>
  <c r="E9" i="2"/>
  <c r="E10" i="2"/>
  <c r="E11" i="2"/>
  <c r="E12" i="2"/>
  <c r="E13" i="2"/>
  <c r="E14" i="2"/>
  <c r="E15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2" i="2"/>
  <c r="E33" i="2"/>
  <c r="G38" i="2" l="1"/>
  <c r="G37" i="2"/>
  <c r="H3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<sst xmlns="http://schemas.openxmlformats.org/spreadsheetml/2006/main" count="327" uniqueCount="138">
  <si>
    <t>Numero</t>
  </si>
  <si>
    <t>secao documento</t>
  </si>
  <si>
    <t>Descricao</t>
  </si>
  <si>
    <t>Resultado</t>
  </si>
  <si>
    <t>NC</t>
  </si>
  <si>
    <t>data e hora da identificacao da NC</t>
  </si>
  <si>
    <t>classificacao NC</t>
  </si>
  <si>
    <t>Prazo Resolucao</t>
  </si>
  <si>
    <t>Responsavel pela resolucao</t>
  </si>
  <si>
    <t>Acao Corretiva</t>
  </si>
  <si>
    <t>Foi Resolvido?</t>
  </si>
  <si>
    <t>data e hora de escalonamento</t>
  </si>
  <si>
    <t>data e hora da conclusao da NC</t>
  </si>
  <si>
    <t>status</t>
  </si>
  <si>
    <t>Capa</t>
  </si>
  <si>
    <t>Foi inserido os nomes do Autores?</t>
  </si>
  <si>
    <t>Não</t>
  </si>
  <si>
    <t>baixa</t>
  </si>
  <si>
    <t>Equipe Vitor</t>
  </si>
  <si>
    <t>na capa, Inserir os nomes dos autores no lugar destinado.</t>
  </si>
  <si>
    <t>Sim</t>
  </si>
  <si>
    <t>fechado</t>
  </si>
  <si>
    <t>Foi inserido o nome do Produto de Software?</t>
  </si>
  <si>
    <t>Artefato 1</t>
  </si>
  <si>
    <t>Na tabela (Quadro "3 objetivos") o campo NOME Do PRODUTO foi preenchido?</t>
  </si>
  <si>
    <t>Na tabela (Quadro "3 objetivos") Todas os  tres campos da coluna descricao foram preenchidos ?</t>
  </si>
  <si>
    <t>media</t>
  </si>
  <si>
    <t>no artefato 1, Preencher os campos vazios da tabela, visto que e necessario as 3 descricoes dos 3 objetivos</t>
  </si>
  <si>
    <t>Nao</t>
  </si>
  <si>
    <t>Artefato 2</t>
  </si>
  <si>
    <t>Na tabela (Quadro “é – não é – faz – não faz”) o campo NOME Do PRODUTO foi preenchido?</t>
  </si>
  <si>
    <t>Na tabela (Quadro “é – não é – faz – não faz”) o campo (É) foi preenchido?</t>
  </si>
  <si>
    <t>Na tabela (Quadro “é – não é – faz – não faz”) o campo ( Não É) foi preenchido?</t>
  </si>
  <si>
    <t>10/4/2026 - 12:34</t>
  </si>
  <si>
    <t>preencher o campo (não e) na tabela (Quadro “é – não é – faz – não faz”), no artefato 2</t>
  </si>
  <si>
    <t>10/4/2026 - 13:05</t>
  </si>
  <si>
    <t>Na tabela (Quadro “é – não é – faz – não faz”) o campo (Faz) foi preenchido?</t>
  </si>
  <si>
    <t>Na tabela (Quadro “é – não é – faz – não faz”) o campo (Não faz) foi preenchido?</t>
  </si>
  <si>
    <t>Artefato 3</t>
  </si>
  <si>
    <t>Na tabela ( Quadro “Visão de Produto”) o campo NOME Do PRODUTO foi preenchido?</t>
  </si>
  <si>
    <t>10/04/2026 - 13:05</t>
  </si>
  <si>
    <t>NO artefato 3, Na tabela ( Quadro “Visão de Produto”) preencher o campo NOME Do PRODUTO .</t>
  </si>
  <si>
    <t>10/04/2026 - 13:35</t>
  </si>
  <si>
    <t>Na tabela ( Quadro “Visão de Produto”) o campo CLIENTE-ALVO foi preenchido?</t>
  </si>
  <si>
    <t>Na tabela ( Quadro “Visão de Produto”) o campo CATEGORIA-SEGMENTO foi preenchido?</t>
  </si>
  <si>
    <t>Na tabela ( Quadro “Visão de Produto”) o campo BENEFÍCIO-CHAVE foi preenchido?</t>
  </si>
  <si>
    <t>alta</t>
  </si>
  <si>
    <t>NO artefato 3, Na tabela ( Quadro “Visão de Produto”) preencher o campo beneficio-chave .</t>
  </si>
  <si>
    <t>Na tabela ( Quadro “Visão de Produto”) o campo DIFERENCIADO-CHAVE foi preenchido?</t>
  </si>
  <si>
    <t>Na tabela ( Quadro “Visão de Produto”) o campo META-VALOR foi preenchido?</t>
  </si>
  <si>
    <t>Artefato 4</t>
  </si>
  <si>
    <t>Na tabela ( "PRODUCT BACKLOG BUILDING") o campo PRODUCT NAME foi preenchido?</t>
  </si>
  <si>
    <t>Na tabela ( "PRODUCT BACKLOG BUILDING") o campo PROBLEMS foi preenchido?</t>
  </si>
  <si>
    <t>Na tabela ( "PRODUCT BACKLOG BUILDING") o campo PERSONAS foi preenchido?</t>
  </si>
  <si>
    <t>Na tabela ( "PRODUCT BACKLOG BUILDING") o campo FEATURES foi preenchido?</t>
  </si>
  <si>
    <t>Na tabela ( "PRODUCT BACKLOG BUILDING") o campo EXPECTATIONS foi preenchido?</t>
  </si>
  <si>
    <t>Na tabela ( "PRODUCT BACKLOG BUILDING") o campo PBI:PRODUCT BACKLOH ITENS foi preenchido?</t>
  </si>
  <si>
    <t>Artefato 5</t>
  </si>
  <si>
    <t>Nas tabelas ("HISTORIA DO USUARIO"): o campo PBI foi preenchido?</t>
  </si>
  <si>
    <t>Nas tabelas ("HISTORIA DO USUARIO"): no campo COMO/POSSO/PARA foram preenchidos o COMO?</t>
  </si>
  <si>
    <t>4/10/2026 - 12:38</t>
  </si>
  <si>
    <t>artefato 5, Nas tabelas ("HISTORIA DO USUARIO"),na HISTÓRIA DO USUÁRIO 1 - PBI: Fazer cadastro no sistema preencher o campo COMO .</t>
  </si>
  <si>
    <t>4/10/2026 - 13:06</t>
  </si>
  <si>
    <t>Nas tabelas ("HISTORIA DO USUARIO"): no campo COMO/POSSO/PARA foram preenchidos o POSSO?</t>
  </si>
  <si>
    <t>artefato 5, Nas tabelas ("HISTORIA DO USUARIO"), na HISTÓRIA DO USUÁRIO 1 - PBI: Fazer cadastro no sistema preencher o campo POSSO .</t>
  </si>
  <si>
    <t>Nas tabelas ("HISTORIA DO USUARIO"): no campo COMO/POSSO/PARA foram preenchidos o PARA?</t>
  </si>
  <si>
    <t>Nas tabelas ("HISTORIA DO USUARIO"): o campo dos CRITERIOS DE ACEITE foram preenchidos com DADO QUE?</t>
  </si>
  <si>
    <t>Nas tabelas ("HISTORIA DO USUARIO"):  o campo dos CRITERIOS DE ACEITE foram preenchidos com QUANDO?</t>
  </si>
  <si>
    <t>Nas tabelas ("HISTORIA DO USUARIO"): o campo dos CRITERIOS DE ACEITE foram preenchidos com ENTAO?</t>
  </si>
  <si>
    <t>Artefato 6</t>
  </si>
  <si>
    <t>Foi inserido uma ou mais figuras com o MODELO RELACIONAL ?</t>
  </si>
  <si>
    <t>Artefato 7</t>
  </si>
  <si>
    <t>Caso exista o DIAGRAMA DE CLASSES, foi inserido uma ou mais figuras?</t>
  </si>
  <si>
    <t>não se aplica</t>
  </si>
  <si>
    <t>\</t>
  </si>
  <si>
    <t>Artefato 8</t>
  </si>
  <si>
    <t>Foi inserido uma ou mais figuras com o DIAGRAMA DE ATIVIDADES ?</t>
  </si>
  <si>
    <t>Referencias Bibliograficas</t>
  </si>
  <si>
    <t>Foram inseridas as referencias Bibliograficas?</t>
  </si>
  <si>
    <t>N° total de NCF</t>
  </si>
  <si>
    <t>NCF Não aplicáveis nesta avaliação</t>
  </si>
  <si>
    <t>Aderência</t>
  </si>
  <si>
    <t>Advertência | Não se aplica</t>
  </si>
  <si>
    <t>0-60%</t>
  </si>
  <si>
    <t>Baixa |</t>
  </si>
  <si>
    <t>N° de pontos de avaliação</t>
  </si>
  <si>
    <t>61-90%</t>
  </si>
  <si>
    <t xml:space="preserve">Media | </t>
  </si>
  <si>
    <t>91-100%</t>
  </si>
  <si>
    <t>Alta |</t>
  </si>
  <si>
    <t>Aderência ao Processo</t>
  </si>
  <si>
    <t>Solicitação de não confromidade</t>
  </si>
  <si>
    <t>projeto</t>
  </si>
  <si>
    <t>RELAÇÃO DE ARTEFATOS  
ESPECIFICAÇÃO DO PROJETO  
Vai</t>
  </si>
  <si>
    <t>responsavel pela resolucao</t>
  </si>
  <si>
    <t>data da 1 resolucao</t>
  </si>
  <si>
    <t>data resolucao</t>
  </si>
  <si>
    <t>numero escalonamento</t>
  </si>
  <si>
    <t>reponsavel por qa</t>
  </si>
  <si>
    <t>Mateus Domingues</t>
  </si>
  <si>
    <t>Classificacao</t>
  </si>
  <si>
    <t>Acao corretiva indicada</t>
  </si>
  <si>
    <t>Na campa do projeto, foi inserido os nomes do Autores?</t>
  </si>
  <si>
    <t>baixa - 30 minutos</t>
  </si>
  <si>
    <t>Historico de escalonamento</t>
  </si>
  <si>
    <t>superior responsavel</t>
  </si>
  <si>
    <t>prazo resolucao</t>
  </si>
  <si>
    <t>Professora Kelly</t>
  </si>
  <si>
    <t>Observacoes</t>
  </si>
  <si>
    <t>...</t>
  </si>
  <si>
    <t>André - Maria - Vitor - Yasmin</t>
  </si>
  <si>
    <t>data da 1 solicitacao</t>
  </si>
  <si>
    <t>data escalonamento</t>
  </si>
  <si>
    <t>media - 1 horas</t>
  </si>
  <si>
    <t>professora kelly</t>
  </si>
  <si>
    <t>Projeto</t>
  </si>
  <si>
    <t xml:space="preserve">"RELAÇÃO DE ARTEFATOS ESPECIFICAÇÃO DO PROJETO Vai"							</t>
  </si>
  <si>
    <t>Data da 1° Solicitação</t>
  </si>
  <si>
    <t>10/4/2026 - 12:04</t>
  </si>
  <si>
    <t>Numero escalonamento</t>
  </si>
  <si>
    <t>Reponsavel por QA</t>
  </si>
  <si>
    <t>Lucas Oliveira -Mateus Domingues - Matheus Horning - Victor Gustavo</t>
  </si>
  <si>
    <t xml:space="preserve">Na tabela (Quadro “é – não é – faz – não faz”) o campo ( Não É) foi preenchido?				
				</t>
  </si>
  <si>
    <t>Baixa - 30 minutos</t>
  </si>
  <si>
    <t>Preencher o campo (não e) na tabela (Quadro “é – não é – faz – não faz”), no artefato 2</t>
  </si>
  <si>
    <t>professroa kelly</t>
  </si>
  <si>
    <t>10/04/2026 - 12:05</t>
  </si>
  <si>
    <t>Lucas Oliveira - Mateus Domingues - Matheus Horning - Victor Gustavo</t>
  </si>
  <si>
    <t>Média - 1 Hora</t>
  </si>
  <si>
    <t>RELAÇÃO DE ARTEFATOS DE ESPECIFICAÇÃO DO PROJETO vai</t>
  </si>
  <si>
    <t>ANDRE - MARIA - VITOR, YASMIM</t>
  </si>
  <si>
    <t>ALTA - 1 Dia</t>
  </si>
  <si>
    <t>EQUIPE VITOR</t>
  </si>
  <si>
    <t>4/10/2026 - 12:08</t>
  </si>
  <si>
    <t>LUCAS OLIVEIRA DE SOUZA</t>
  </si>
  <si>
    <t>BAIXA - 30 minutos</t>
  </si>
  <si>
    <t>data resolucao(escalonamento)</t>
  </si>
  <si>
    <t>fechado por excecao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</si>
</sst>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;@"/>
    <numFmt numFmtId="165" formatCode="m/d/yy\ h:mm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rgb="FF242424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CAAE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F67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wrapText="1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justify" vertic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justify" vertical="center"/>
    </xf>
    <xf numFmtId="0" fontId="0" fillId="0" borderId="5" xfId="0" applyBorder="1" applyAlignment="1">
      <alignment wrapText="1"/>
    </xf>
    <xf numFmtId="0" fontId="0" fillId="0" borderId="7" xfId="0" applyBorder="1" applyAlignment="1">
      <alignment horizontal="center"/>
    </xf>
    <xf numFmtId="0" fontId="0" fillId="4" borderId="4" xfId="0" applyFill="1" applyBorder="1" applyAlignment="1">
      <alignment wrapText="1"/>
    </xf>
    <xf numFmtId="0" fontId="1" fillId="0" borderId="18" xfId="0" applyFont="1" applyBorder="1"/>
    <xf numFmtId="0" fontId="0" fillId="5" borderId="18" xfId="0" applyFill="1" applyBorder="1" applyAlignment="1">
      <alignment horizontal="center"/>
    </xf>
    <xf numFmtId="0" fontId="0" fillId="5" borderId="18" xfId="0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8" xfId="0" applyBorder="1"/>
    <xf numFmtId="9" fontId="8" fillId="0" borderId="18" xfId="0" applyNumberFormat="1" applyFont="1" applyBorder="1"/>
    <xf numFmtId="0" fontId="0" fillId="0" borderId="0" xfId="0" applyAlignment="1">
      <alignment vertical="center"/>
    </xf>
    <xf numFmtId="0" fontId="5" fillId="4" borderId="4" xfId="0" applyFont="1" applyFill="1" applyBorder="1" applyAlignment="1">
      <alignment wrapText="1"/>
    </xf>
    <xf numFmtId="0" fontId="1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justify" vertical="center"/>
    </xf>
    <xf numFmtId="0" fontId="1" fillId="9" borderId="1" xfId="0" applyFont="1" applyFill="1" applyBorder="1" applyAlignment="1">
      <alignment wrapText="1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 wrapText="1" shrinkToFit="1"/>
    </xf>
    <xf numFmtId="0" fontId="1" fillId="9" borderId="22" xfId="0" applyFont="1" applyFill="1" applyBorder="1" applyAlignment="1">
      <alignment horizontal="center"/>
    </xf>
    <xf numFmtId="0" fontId="1" fillId="9" borderId="23" xfId="0" applyFont="1" applyFill="1" applyBorder="1" applyAlignment="1">
      <alignment horizontal="center"/>
    </xf>
    <xf numFmtId="0" fontId="1" fillId="9" borderId="24" xfId="0" applyFon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1" fillId="9" borderId="1" xfId="0" applyNumberFormat="1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1" fillId="9" borderId="2" xfId="0" applyNumberFormat="1" applyFont="1" applyFill="1" applyBorder="1" applyAlignment="1">
      <alignment horizontal="center" wrapText="1"/>
    </xf>
    <xf numFmtId="164" fontId="0" fillId="5" borderId="18" xfId="0" applyNumberFormat="1" applyFill="1" applyBorder="1" applyAlignment="1">
      <alignment horizontal="center"/>
    </xf>
    <xf numFmtId="164" fontId="0" fillId="7" borderId="19" xfId="0" applyNumberFormat="1" applyFill="1" applyBorder="1" applyAlignment="1">
      <alignment horizontal="center"/>
    </xf>
    <xf numFmtId="164" fontId="0" fillId="7" borderId="20" xfId="0" applyNumberFormat="1" applyFill="1" applyBorder="1" applyAlignment="1">
      <alignment horizontal="center"/>
    </xf>
    <xf numFmtId="164" fontId="0" fillId="7" borderId="21" xfId="0" applyNumberFormat="1" applyFill="1" applyBorder="1" applyAlignment="1">
      <alignment horizontal="center"/>
    </xf>
    <xf numFmtId="0" fontId="1" fillId="9" borderId="2" xfId="0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 wrapText="1"/>
    </xf>
    <xf numFmtId="164" fontId="0" fillId="0" borderId="0" xfId="0" applyNumberFormat="1"/>
    <xf numFmtId="14" fontId="0" fillId="0" borderId="5" xfId="0" applyNumberFormat="1" applyBorder="1" applyAlignment="1">
      <alignment horizontal="center"/>
    </xf>
    <xf numFmtId="22" fontId="0" fillId="0" borderId="4" xfId="0" applyNumberFormat="1" applyBorder="1" applyAlignment="1">
      <alignment horizontal="center"/>
    </xf>
    <xf numFmtId="0" fontId="0" fillId="0" borderId="0" xfId="0" applyAlignment="1">
      <alignment horizontal="left"/>
    </xf>
    <xf numFmtId="0" fontId="7" fillId="8" borderId="17" xfId="0" applyFont="1" applyFill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5" borderId="18" xfId="0" applyFill="1" applyBorder="1" applyAlignment="1">
      <alignment horizontal="left"/>
    </xf>
    <xf numFmtId="0" fontId="0" fillId="10" borderId="18" xfId="0" applyFill="1" applyBorder="1" applyAlignment="1">
      <alignment horizontal="left"/>
    </xf>
    <xf numFmtId="0" fontId="0" fillId="0" borderId="18" xfId="0" applyBorder="1" applyAlignment="1">
      <alignment horizontal="center"/>
    </xf>
    <xf numFmtId="0" fontId="0" fillId="11" borderId="18" xfId="0" applyFill="1" applyBorder="1" applyAlignment="1">
      <alignment horizontal="left"/>
    </xf>
    <xf numFmtId="0" fontId="0" fillId="12" borderId="18" xfId="0" applyFill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4" xfId="0" applyNumberForma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vertical="center" wrapText="1"/>
    </xf>
    <xf numFmtId="14" fontId="0" fillId="0" borderId="4" xfId="0" applyNumberFormat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9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14" fontId="0" fillId="0" borderId="7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21"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1" tint="4.9989318521683403E-2"/>
      </font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colors>
    <mruColors>
      <color rgb="FFE684E8"/>
      <color rgb="FFFFFDC7"/>
      <color rgb="FFF5F3A6"/>
      <color rgb="FFFCF67C"/>
      <color rgb="FFF7C877"/>
      <color rgb="FFF2A922"/>
      <color rgb="FFF06429"/>
      <color rgb="FFFF8800"/>
      <color rgb="FFFF9696"/>
      <color rgb="FFEB54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CBE4-A1E9-46FD-814B-80DFFEF3498D}">
  <sheetPr codeName="Planilha1" filterMode="1"/>
  <dimension ref="A1:N88"/>
  <sheetViews>
    <sheetView tabSelected="1" zoomScale="70" zoomScaleNormal="70" workbookViewId="0">
      <selection activeCell="O5" sqref="O5"/>
    </sheetView>
  </sheetViews>
  <sheetFormatPr defaultColWidth="8.88671875" defaultRowHeight="14.4"/>
  <cols>
    <col min="1" max="1" width="7.6640625" style="3" customWidth="1"/>
    <col min="2" max="2" width="16.5546875" style="4" customWidth="1"/>
    <col min="3" max="3" width="33.5546875" style="1" customWidth="1"/>
    <col min="4" max="4" width="13.109375" style="3" customWidth="1"/>
    <col min="5" max="5" width="30" style="3" hidden="1" customWidth="1"/>
    <col min="6" max="6" width="35.5546875" style="38" customWidth="1"/>
    <col min="7" max="7" width="17.88671875" style="3" customWidth="1"/>
    <col min="8" max="8" width="24.33203125" style="38" customWidth="1"/>
    <col min="9" max="9" width="16.44140625" style="3" customWidth="1"/>
    <col min="10" max="10" width="18.88671875" style="47" customWidth="1"/>
    <col min="11" max="11" width="15.88671875" style="3" customWidth="1"/>
    <col min="12" max="12" width="31.33203125" style="3" bestFit="1" customWidth="1"/>
    <col min="13" max="13" width="27.88671875" style="3" customWidth="1"/>
    <col min="14" max="14" width="19.109375" style="3" customWidth="1"/>
    <col min="15" max="15" width="8.88671875" style="3"/>
    <col min="16" max="16" width="18.5546875" style="3" bestFit="1" customWidth="1"/>
    <col min="17" max="16384" width="8.88671875" style="3"/>
  </cols>
  <sheetData>
    <row r="1" spans="1:14" s="2" customFormat="1" ht="29.25" customHeight="1" thickBot="1">
      <c r="A1" s="26" t="s">
        <v>0</v>
      </c>
      <c r="B1" s="27" t="s">
        <v>1</v>
      </c>
      <c r="C1" s="28" t="s">
        <v>2</v>
      </c>
      <c r="D1" s="29" t="s">
        <v>3</v>
      </c>
      <c r="E1" s="26" t="s">
        <v>4</v>
      </c>
      <c r="F1" s="39" t="s">
        <v>5</v>
      </c>
      <c r="G1" s="29" t="s">
        <v>6</v>
      </c>
      <c r="H1" s="35" t="s">
        <v>7</v>
      </c>
      <c r="I1" s="30" t="s">
        <v>8</v>
      </c>
      <c r="J1" s="44" t="s">
        <v>9</v>
      </c>
      <c r="K1" s="26" t="s">
        <v>10</v>
      </c>
      <c r="L1" s="31" t="s">
        <v>11</v>
      </c>
      <c r="M1" s="32" t="s">
        <v>12</v>
      </c>
      <c r="N1" s="33" t="s">
        <v>13</v>
      </c>
    </row>
    <row r="2" spans="1:14" ht="43.2">
      <c r="A2" s="9">
        <v>1</v>
      </c>
      <c r="B2" s="10" t="s">
        <v>14</v>
      </c>
      <c r="C2" s="11" t="s">
        <v>15</v>
      </c>
      <c r="D2" s="9" t="s">
        <v>16</v>
      </c>
      <c r="E2" s="9" t="str">
        <f>IF(D2 = "","",IF(D2 = "Não","nao conformidade","ok"))</f>
        <v>nao conformidade</v>
      </c>
      <c r="F2" s="34">
        <v>46120.444444444445</v>
      </c>
      <c r="G2" s="9" t="s">
        <v>17</v>
      </c>
      <c r="H2" s="34">
        <v>46122.518750000003</v>
      </c>
      <c r="I2" s="9" t="s">
        <v>18</v>
      </c>
      <c r="J2" s="45" t="s">
        <v>19</v>
      </c>
      <c r="K2" s="9" t="s">
        <v>20</v>
      </c>
      <c r="L2" s="50">
        <v>46122.543055555558</v>
      </c>
      <c r="M2" s="50">
        <v>46126.487500000003</v>
      </c>
      <c r="N2" s="6" t="s">
        <v>21</v>
      </c>
    </row>
    <row r="3" spans="1:14" ht="28.8" hidden="1">
      <c r="A3" s="9">
        <v>2</v>
      </c>
      <c r="B3" s="7" t="s">
        <v>14</v>
      </c>
      <c r="C3" s="8" t="s">
        <v>22</v>
      </c>
      <c r="D3" s="6" t="s">
        <v>20</v>
      </c>
      <c r="E3" s="6" t="str">
        <f>IF(D3 = "","",IF(D3 = "Não","nao confomidade","ok"))</f>
        <v>ok</v>
      </c>
      <c r="F3" s="34"/>
      <c r="G3" s="6"/>
      <c r="H3" s="36"/>
      <c r="I3" s="6"/>
      <c r="J3" s="12"/>
      <c r="K3" s="6"/>
      <c r="L3" s="6"/>
      <c r="M3" s="6"/>
      <c r="N3" s="6"/>
    </row>
    <row r="4" spans="1:14" ht="43.2" hidden="1">
      <c r="A4" s="9">
        <v>3</v>
      </c>
      <c r="B4" s="7" t="s">
        <v>23</v>
      </c>
      <c r="C4" s="8" t="s">
        <v>24</v>
      </c>
      <c r="D4" s="6" t="s">
        <v>20</v>
      </c>
      <c r="E4" s="6" t="str">
        <f t="shared" ref="E4:E33" si="0">IF(D4 = "","",IF(D4 = "Não","nao confomidade","ok"))</f>
        <v>ok</v>
      </c>
      <c r="F4" s="34"/>
      <c r="G4" s="6"/>
      <c r="H4" s="36"/>
      <c r="I4" s="6"/>
      <c r="J4" s="12"/>
      <c r="K4" s="6"/>
      <c r="L4" s="6"/>
      <c r="M4" s="6"/>
      <c r="N4" s="6"/>
    </row>
    <row r="5" spans="1:14" ht="100.8">
      <c r="A5" s="9">
        <v>4</v>
      </c>
      <c r="B5" s="7" t="s">
        <v>23</v>
      </c>
      <c r="C5" s="13" t="s">
        <v>25</v>
      </c>
      <c r="D5" s="6" t="s">
        <v>16</v>
      </c>
      <c r="E5" s="6" t="str">
        <f t="shared" si="0"/>
        <v>nao confomidade</v>
      </c>
      <c r="F5" s="34">
        <v>46120.446527777778</v>
      </c>
      <c r="G5" s="6" t="s">
        <v>26</v>
      </c>
      <c r="H5" s="34">
        <v>46122.543055555558</v>
      </c>
      <c r="I5" s="9" t="s">
        <v>18</v>
      </c>
      <c r="J5" s="46" t="s">
        <v>27</v>
      </c>
      <c r="K5" s="6" t="s">
        <v>28</v>
      </c>
      <c r="L5" s="50">
        <v>46122.564583333333</v>
      </c>
      <c r="M5" s="50">
        <v>46126.511111111111</v>
      </c>
      <c r="N5" s="6" t="s">
        <v>137</v>
      </c>
    </row>
    <row r="6" spans="1:14" ht="43.2" hidden="1">
      <c r="A6" s="9">
        <v>5</v>
      </c>
      <c r="B6" s="7" t="s">
        <v>29</v>
      </c>
      <c r="C6" s="8" t="s">
        <v>30</v>
      </c>
      <c r="D6" s="6" t="s">
        <v>20</v>
      </c>
      <c r="E6" s="6" t="str">
        <f t="shared" si="0"/>
        <v>ok</v>
      </c>
      <c r="F6" s="36"/>
      <c r="G6" s="6"/>
      <c r="H6" s="36"/>
      <c r="I6" s="6"/>
      <c r="J6" s="12"/>
      <c r="K6" s="6"/>
      <c r="L6" s="6"/>
      <c r="M6" s="6"/>
      <c r="N6" s="6"/>
    </row>
    <row r="7" spans="1:14" ht="28.8" hidden="1">
      <c r="A7" s="9">
        <v>6</v>
      </c>
      <c r="B7" s="7" t="s">
        <v>29</v>
      </c>
      <c r="C7" s="8" t="s">
        <v>31</v>
      </c>
      <c r="D7" s="6" t="s">
        <v>20</v>
      </c>
      <c r="E7" s="6" t="str">
        <f t="shared" si="0"/>
        <v>ok</v>
      </c>
      <c r="F7" s="36"/>
      <c r="G7" s="6"/>
      <c r="H7" s="36"/>
      <c r="I7" s="6"/>
      <c r="J7" s="12"/>
      <c r="K7" s="6"/>
      <c r="L7" s="6"/>
      <c r="M7" s="6"/>
      <c r="N7" s="6"/>
    </row>
    <row r="8" spans="1:14" ht="72">
      <c r="A8" s="9">
        <v>7</v>
      </c>
      <c r="B8" s="7" t="s">
        <v>29</v>
      </c>
      <c r="C8" s="8" t="s">
        <v>32</v>
      </c>
      <c r="D8" s="6" t="s">
        <v>16</v>
      </c>
      <c r="E8" s="6" t="str">
        <f t="shared" si="0"/>
        <v>nao confomidade</v>
      </c>
      <c r="F8" s="34">
        <v>46120.45</v>
      </c>
      <c r="G8" s="6" t="s">
        <v>17</v>
      </c>
      <c r="H8" s="34" t="s">
        <v>33</v>
      </c>
      <c r="I8" s="9" t="s">
        <v>18</v>
      </c>
      <c r="J8" s="46" t="s">
        <v>34</v>
      </c>
      <c r="K8" s="6" t="s">
        <v>20</v>
      </c>
      <c r="L8" s="6" t="s">
        <v>35</v>
      </c>
      <c r="M8" s="50">
        <v>46126.487500000003</v>
      </c>
      <c r="N8" s="6" t="s">
        <v>21</v>
      </c>
    </row>
    <row r="9" spans="1:14" ht="43.2" hidden="1">
      <c r="A9" s="9">
        <v>8</v>
      </c>
      <c r="B9" s="7" t="s">
        <v>29</v>
      </c>
      <c r="C9" s="8" t="s">
        <v>36</v>
      </c>
      <c r="D9" s="6" t="s">
        <v>20</v>
      </c>
      <c r="E9" s="6" t="str">
        <f t="shared" si="0"/>
        <v>ok</v>
      </c>
      <c r="F9" s="36"/>
      <c r="G9" s="6"/>
      <c r="H9" s="36"/>
      <c r="I9" s="6"/>
      <c r="J9" s="12"/>
      <c r="K9" s="6"/>
      <c r="L9" s="6"/>
      <c r="M9" s="6"/>
      <c r="N9" s="6"/>
    </row>
    <row r="10" spans="1:14" ht="43.2" hidden="1">
      <c r="A10" s="9">
        <v>9</v>
      </c>
      <c r="B10" s="7" t="s">
        <v>29</v>
      </c>
      <c r="C10" s="8" t="s">
        <v>37</v>
      </c>
      <c r="D10" s="6" t="s">
        <v>20</v>
      </c>
      <c r="E10" s="6" t="str">
        <f t="shared" si="0"/>
        <v>ok</v>
      </c>
      <c r="F10" s="36"/>
      <c r="G10" s="6"/>
      <c r="H10" s="36"/>
      <c r="I10" s="6"/>
      <c r="J10" s="12"/>
      <c r="K10" s="6"/>
      <c r="L10" s="6"/>
      <c r="M10" s="6"/>
      <c r="N10" s="6"/>
    </row>
    <row r="11" spans="1:14" ht="44.25" customHeight="1">
      <c r="A11" s="9">
        <v>10</v>
      </c>
      <c r="B11" s="7" t="s">
        <v>38</v>
      </c>
      <c r="C11" s="8" t="s">
        <v>39</v>
      </c>
      <c r="D11" s="6" t="s">
        <v>16</v>
      </c>
      <c r="E11" s="6" t="str">
        <f t="shared" si="0"/>
        <v>nao confomidade</v>
      </c>
      <c r="F11" s="34">
        <v>46120.451388888891</v>
      </c>
      <c r="G11" s="6" t="s">
        <v>26</v>
      </c>
      <c r="H11" s="49" t="s">
        <v>40</v>
      </c>
      <c r="I11" s="9" t="s">
        <v>18</v>
      </c>
      <c r="J11" s="46" t="s">
        <v>41</v>
      </c>
      <c r="K11" s="6" t="s">
        <v>20</v>
      </c>
      <c r="L11" s="6" t="s">
        <v>42</v>
      </c>
      <c r="M11" s="50">
        <v>46126.487500000003</v>
      </c>
      <c r="N11" s="6" t="s">
        <v>21</v>
      </c>
    </row>
    <row r="12" spans="1:14" ht="43.2" hidden="1">
      <c r="A12" s="9">
        <v>11</v>
      </c>
      <c r="B12" s="7" t="s">
        <v>38</v>
      </c>
      <c r="C12" s="8" t="s">
        <v>43</v>
      </c>
      <c r="D12" s="6" t="s">
        <v>20</v>
      </c>
      <c r="E12" s="6" t="str">
        <f t="shared" si="0"/>
        <v>ok</v>
      </c>
      <c r="F12" s="36"/>
      <c r="G12" s="6"/>
      <c r="H12" s="36"/>
      <c r="I12" s="6"/>
      <c r="J12" s="12"/>
      <c r="K12" s="6"/>
      <c r="L12" s="6"/>
      <c r="M12" s="6"/>
      <c r="N12" s="6"/>
    </row>
    <row r="13" spans="1:14" ht="66.75" hidden="1" customHeight="1">
      <c r="A13" s="9">
        <v>12</v>
      </c>
      <c r="B13" s="7" t="s">
        <v>38</v>
      </c>
      <c r="C13" s="8" t="s">
        <v>44</v>
      </c>
      <c r="D13" s="6" t="s">
        <v>20</v>
      </c>
      <c r="E13" s="6" t="str">
        <f t="shared" si="0"/>
        <v>ok</v>
      </c>
      <c r="F13" s="36"/>
      <c r="G13" s="6"/>
      <c r="H13" s="36"/>
      <c r="I13" s="6"/>
      <c r="J13" s="12"/>
      <c r="K13" s="6"/>
      <c r="L13" s="6"/>
      <c r="M13" s="6"/>
      <c r="N13" s="6"/>
    </row>
    <row r="14" spans="1:14" ht="72">
      <c r="A14" s="9">
        <v>13</v>
      </c>
      <c r="B14" s="7" t="s">
        <v>38</v>
      </c>
      <c r="C14" s="8" t="s">
        <v>45</v>
      </c>
      <c r="D14" s="6" t="s">
        <v>16</v>
      </c>
      <c r="E14" s="6" t="str">
        <f t="shared" si="0"/>
        <v>nao confomidade</v>
      </c>
      <c r="F14" s="34">
        <v>46120.45416666667</v>
      </c>
      <c r="G14" s="6" t="s">
        <v>46</v>
      </c>
      <c r="H14" s="36">
        <v>46126.504861111112</v>
      </c>
      <c r="I14" s="9" t="s">
        <v>18</v>
      </c>
      <c r="J14" s="46" t="s">
        <v>47</v>
      </c>
      <c r="K14" s="6" t="s">
        <v>20</v>
      </c>
      <c r="L14" s="6"/>
      <c r="M14" s="50">
        <v>46126.487500000003</v>
      </c>
      <c r="N14" s="6" t="s">
        <v>21</v>
      </c>
    </row>
    <row r="15" spans="1:14" ht="43.2" hidden="1">
      <c r="A15" s="9">
        <v>14</v>
      </c>
      <c r="B15" s="7" t="s">
        <v>38</v>
      </c>
      <c r="C15" s="8" t="s">
        <v>48</v>
      </c>
      <c r="D15" s="6" t="s">
        <v>20</v>
      </c>
      <c r="E15" s="6" t="str">
        <f t="shared" si="0"/>
        <v>ok</v>
      </c>
      <c r="F15" s="36"/>
      <c r="G15" s="6"/>
      <c r="H15" s="36"/>
      <c r="I15" s="6"/>
      <c r="J15" s="12"/>
      <c r="K15" s="6"/>
      <c r="L15" s="6"/>
      <c r="M15" s="6"/>
      <c r="N15" s="6"/>
    </row>
    <row r="16" spans="1:14" ht="43.2" hidden="1">
      <c r="A16" s="9">
        <v>15</v>
      </c>
      <c r="B16" s="7" t="s">
        <v>38</v>
      </c>
      <c r="C16" s="8" t="s">
        <v>49</v>
      </c>
      <c r="D16" s="6" t="s">
        <v>20</v>
      </c>
      <c r="E16" s="6" t="str">
        <f>IF(D16 = "","",IF(D16 = "Não","nao confomidade","ok"))</f>
        <v>ok</v>
      </c>
      <c r="F16" s="36"/>
      <c r="G16" s="6"/>
      <c r="H16" s="36"/>
      <c r="I16" s="6"/>
      <c r="J16" s="12"/>
      <c r="K16" s="6"/>
      <c r="L16" s="6"/>
      <c r="M16" s="6"/>
      <c r="N16" s="6"/>
    </row>
    <row r="17" spans="1:14" ht="43.2" hidden="1">
      <c r="A17" s="9">
        <v>16</v>
      </c>
      <c r="B17" s="7" t="s">
        <v>50</v>
      </c>
      <c r="C17" s="8" t="s">
        <v>51</v>
      </c>
      <c r="D17" s="6" t="s">
        <v>20</v>
      </c>
      <c r="E17" s="6" t="str">
        <f t="shared" si="0"/>
        <v>ok</v>
      </c>
      <c r="F17" s="36"/>
      <c r="G17" s="6"/>
      <c r="H17" s="36"/>
      <c r="I17" s="6"/>
      <c r="J17" s="12"/>
      <c r="K17" s="6"/>
      <c r="L17" s="6"/>
      <c r="M17" s="6"/>
      <c r="N17" s="6"/>
    </row>
    <row r="18" spans="1:14" ht="43.2" hidden="1">
      <c r="A18" s="9">
        <v>17</v>
      </c>
      <c r="B18" s="7" t="s">
        <v>50</v>
      </c>
      <c r="C18" s="8" t="s">
        <v>52</v>
      </c>
      <c r="D18" s="6" t="s">
        <v>20</v>
      </c>
      <c r="E18" s="6" t="str">
        <f t="shared" si="0"/>
        <v>ok</v>
      </c>
      <c r="F18" s="36"/>
      <c r="G18" s="6"/>
      <c r="H18" s="36"/>
      <c r="I18" s="6"/>
      <c r="J18" s="12"/>
      <c r="K18" s="6"/>
      <c r="L18" s="6"/>
      <c r="M18" s="6"/>
      <c r="N18" s="6"/>
    </row>
    <row r="19" spans="1:14" ht="43.2" hidden="1">
      <c r="A19" s="9">
        <v>18</v>
      </c>
      <c r="B19" s="7" t="s">
        <v>50</v>
      </c>
      <c r="C19" s="8" t="s">
        <v>53</v>
      </c>
      <c r="D19" s="6" t="s">
        <v>20</v>
      </c>
      <c r="E19" s="6" t="str">
        <f t="shared" si="0"/>
        <v>ok</v>
      </c>
      <c r="F19" s="36"/>
      <c r="G19" s="6"/>
      <c r="H19" s="36"/>
      <c r="I19" s="6"/>
      <c r="J19" s="12"/>
      <c r="K19" s="6"/>
      <c r="L19" s="6"/>
      <c r="M19" s="6"/>
      <c r="N19" s="6"/>
    </row>
    <row r="20" spans="1:14" ht="43.2" hidden="1">
      <c r="A20" s="9">
        <v>19</v>
      </c>
      <c r="B20" s="7" t="s">
        <v>50</v>
      </c>
      <c r="C20" s="8" t="s">
        <v>54</v>
      </c>
      <c r="D20" s="6" t="s">
        <v>20</v>
      </c>
      <c r="E20" s="6" t="str">
        <f t="shared" si="0"/>
        <v>ok</v>
      </c>
      <c r="F20" s="36"/>
      <c r="G20" s="6"/>
      <c r="H20" s="36"/>
      <c r="I20" s="6"/>
      <c r="J20" s="12"/>
      <c r="K20" s="6"/>
      <c r="L20" s="6"/>
      <c r="M20" s="6"/>
      <c r="N20" s="6"/>
    </row>
    <row r="21" spans="1:14" ht="43.2" hidden="1">
      <c r="A21" s="9">
        <v>20</v>
      </c>
      <c r="B21" s="7" t="s">
        <v>50</v>
      </c>
      <c r="C21" s="8" t="s">
        <v>55</v>
      </c>
      <c r="D21" s="6" t="s">
        <v>20</v>
      </c>
      <c r="E21" s="6" t="str">
        <f t="shared" si="0"/>
        <v>ok</v>
      </c>
      <c r="F21" s="36"/>
      <c r="G21" s="6"/>
      <c r="H21" s="36"/>
      <c r="I21" s="6"/>
      <c r="J21" s="12"/>
      <c r="K21" s="6"/>
      <c r="L21" s="6"/>
      <c r="M21" s="6"/>
      <c r="N21" s="6"/>
    </row>
    <row r="22" spans="1:14" ht="43.2" hidden="1">
      <c r="A22" s="9">
        <v>21</v>
      </c>
      <c r="B22" s="7" t="s">
        <v>50</v>
      </c>
      <c r="C22" s="8" t="s">
        <v>56</v>
      </c>
      <c r="D22" s="6" t="s">
        <v>20</v>
      </c>
      <c r="E22" s="6" t="str">
        <f t="shared" si="0"/>
        <v>ok</v>
      </c>
      <c r="F22" s="36"/>
      <c r="G22" s="6"/>
      <c r="H22" s="36"/>
      <c r="I22" s="6"/>
      <c r="J22" s="12"/>
      <c r="K22" s="6"/>
      <c r="L22" s="6"/>
      <c r="M22" s="6"/>
      <c r="N22" s="6"/>
    </row>
    <row r="23" spans="1:14" ht="28.8" hidden="1">
      <c r="A23" s="9">
        <v>22</v>
      </c>
      <c r="B23" s="7" t="s">
        <v>57</v>
      </c>
      <c r="C23" s="13" t="s">
        <v>58</v>
      </c>
      <c r="D23" s="6" t="s">
        <v>20</v>
      </c>
      <c r="E23" s="6" t="str">
        <f t="shared" si="0"/>
        <v>ok</v>
      </c>
      <c r="F23" s="36"/>
      <c r="G23" s="6"/>
      <c r="H23" s="36"/>
      <c r="I23" s="6"/>
      <c r="J23" s="12"/>
      <c r="K23" s="6"/>
      <c r="L23" s="6"/>
      <c r="M23" s="6"/>
      <c r="N23" s="6"/>
    </row>
    <row r="24" spans="1:14" ht="115.2">
      <c r="A24" s="9">
        <v>23</v>
      </c>
      <c r="B24" s="7" t="s">
        <v>57</v>
      </c>
      <c r="C24" s="8" t="s">
        <v>59</v>
      </c>
      <c r="D24" s="6" t="s">
        <v>16</v>
      </c>
      <c r="E24" s="6" t="str">
        <f t="shared" si="0"/>
        <v>nao confomidade</v>
      </c>
      <c r="F24" s="34">
        <v>46120.458333333336</v>
      </c>
      <c r="G24" s="6" t="s">
        <v>17</v>
      </c>
      <c r="H24" s="36" t="s">
        <v>60</v>
      </c>
      <c r="I24" s="9" t="s">
        <v>18</v>
      </c>
      <c r="J24" s="46" t="s">
        <v>61</v>
      </c>
      <c r="K24" s="6" t="s">
        <v>20</v>
      </c>
      <c r="L24" s="6" t="s">
        <v>62</v>
      </c>
      <c r="M24" s="50">
        <v>46126.487500000003</v>
      </c>
      <c r="N24" s="6" t="s">
        <v>21</v>
      </c>
    </row>
    <row r="25" spans="1:14" ht="115.2">
      <c r="A25" s="9">
        <v>24</v>
      </c>
      <c r="B25" s="7" t="s">
        <v>57</v>
      </c>
      <c r="C25" s="8" t="s">
        <v>63</v>
      </c>
      <c r="D25" s="6" t="s">
        <v>16</v>
      </c>
      <c r="E25" s="6" t="str">
        <f t="shared" si="0"/>
        <v>nao confomidade</v>
      </c>
      <c r="F25" s="34">
        <v>46120.459027777775</v>
      </c>
      <c r="G25" s="6" t="s">
        <v>17</v>
      </c>
      <c r="H25" s="36">
        <v>46122.527083333334</v>
      </c>
      <c r="I25" s="9" t="s">
        <v>18</v>
      </c>
      <c r="J25" s="46" t="s">
        <v>64</v>
      </c>
      <c r="K25" s="6" t="s">
        <v>20</v>
      </c>
      <c r="L25" s="50">
        <v>46122.546527777777</v>
      </c>
      <c r="M25" s="50">
        <v>46126.487500000003</v>
      </c>
      <c r="N25" s="6" t="s">
        <v>21</v>
      </c>
    </row>
    <row r="26" spans="1:14" ht="43.2" hidden="1">
      <c r="A26" s="9">
        <v>25</v>
      </c>
      <c r="B26" s="7" t="s">
        <v>57</v>
      </c>
      <c r="C26" s="8" t="s">
        <v>65</v>
      </c>
      <c r="D26" s="6" t="s">
        <v>20</v>
      </c>
      <c r="E26" s="6" t="str">
        <f t="shared" si="0"/>
        <v>ok</v>
      </c>
      <c r="F26" s="36"/>
      <c r="G26" s="6"/>
      <c r="H26" s="36"/>
      <c r="I26" s="6"/>
      <c r="J26" s="12"/>
      <c r="K26" s="6"/>
      <c r="L26" s="6"/>
      <c r="M26" s="6"/>
      <c r="N26" s="6"/>
    </row>
    <row r="27" spans="1:14" ht="57.6" hidden="1">
      <c r="A27" s="9">
        <v>26</v>
      </c>
      <c r="B27" s="7" t="s">
        <v>57</v>
      </c>
      <c r="C27" s="25" t="s">
        <v>66</v>
      </c>
      <c r="D27" s="6" t="s">
        <v>20</v>
      </c>
      <c r="E27" s="6" t="str">
        <f t="shared" si="0"/>
        <v>ok</v>
      </c>
      <c r="F27" s="36"/>
      <c r="G27" s="6"/>
      <c r="H27" s="36"/>
      <c r="I27" s="6"/>
      <c r="J27" s="12"/>
      <c r="K27" s="6"/>
      <c r="L27" s="6"/>
      <c r="M27" s="6"/>
      <c r="N27" s="6"/>
    </row>
    <row r="28" spans="1:14" ht="43.2" hidden="1">
      <c r="A28" s="9">
        <v>27</v>
      </c>
      <c r="B28" s="7" t="s">
        <v>57</v>
      </c>
      <c r="C28" s="13" t="s">
        <v>67</v>
      </c>
      <c r="D28" s="6" t="s">
        <v>20</v>
      </c>
      <c r="E28" s="6" t="str">
        <f t="shared" si="0"/>
        <v>ok</v>
      </c>
      <c r="F28" s="36"/>
      <c r="G28" s="6"/>
      <c r="H28" s="36"/>
      <c r="I28" s="6"/>
      <c r="J28" s="12"/>
      <c r="K28" s="6"/>
      <c r="L28" s="6"/>
      <c r="M28" s="6"/>
      <c r="N28" s="6"/>
    </row>
    <row r="29" spans="1:14" ht="43.2" hidden="1">
      <c r="A29" s="9">
        <v>28</v>
      </c>
      <c r="B29" s="7" t="s">
        <v>57</v>
      </c>
      <c r="C29" s="13" t="s">
        <v>68</v>
      </c>
      <c r="D29" s="6" t="s">
        <v>20</v>
      </c>
      <c r="E29" s="6" t="str">
        <f t="shared" si="0"/>
        <v>ok</v>
      </c>
      <c r="F29" s="36"/>
      <c r="G29" s="6"/>
      <c r="H29" s="36"/>
      <c r="I29" s="6"/>
      <c r="J29" s="12"/>
      <c r="K29" s="6"/>
      <c r="L29" s="6"/>
      <c r="M29" s="6"/>
      <c r="N29" s="6"/>
    </row>
    <row r="30" spans="1:14" ht="28.8" hidden="1">
      <c r="A30" s="9">
        <v>29</v>
      </c>
      <c r="B30" s="7" t="s">
        <v>69</v>
      </c>
      <c r="C30" s="8" t="s">
        <v>70</v>
      </c>
      <c r="D30" s="6" t="s">
        <v>20</v>
      </c>
      <c r="E30" s="6" t="str">
        <f t="shared" si="0"/>
        <v>ok</v>
      </c>
      <c r="F30" s="36"/>
      <c r="G30" s="6"/>
      <c r="H30" s="36"/>
      <c r="I30" s="6"/>
      <c r="J30" s="12"/>
      <c r="K30" s="6"/>
      <c r="L30" s="6"/>
      <c r="M30" s="6"/>
      <c r="N30" s="6"/>
    </row>
    <row r="31" spans="1:14" ht="28.8" hidden="1">
      <c r="A31" s="9">
        <v>30</v>
      </c>
      <c r="B31" s="7" t="s">
        <v>71</v>
      </c>
      <c r="C31" s="13" t="s">
        <v>72</v>
      </c>
      <c r="D31" s="6" t="s">
        <v>73</v>
      </c>
      <c r="E31" s="6" t="s">
        <v>74</v>
      </c>
      <c r="F31" s="36"/>
      <c r="G31" s="6"/>
      <c r="H31" s="36"/>
      <c r="I31" s="6"/>
      <c r="J31" s="12"/>
      <c r="K31" s="6"/>
      <c r="L31" s="6"/>
      <c r="M31" s="6"/>
      <c r="N31" s="6"/>
    </row>
    <row r="32" spans="1:14" ht="28.8" hidden="1">
      <c r="A32" s="9">
        <v>31</v>
      </c>
      <c r="B32" s="7" t="s">
        <v>75</v>
      </c>
      <c r="C32" s="8" t="s">
        <v>76</v>
      </c>
      <c r="D32" s="6" t="s">
        <v>20</v>
      </c>
      <c r="E32" s="6" t="str">
        <f t="shared" si="0"/>
        <v>ok</v>
      </c>
      <c r="F32" s="36"/>
      <c r="G32" s="6"/>
      <c r="H32" s="36"/>
      <c r="I32" s="6"/>
      <c r="J32" s="12"/>
      <c r="K32" s="6"/>
      <c r="L32" s="6"/>
      <c r="M32" s="6"/>
      <c r="N32" s="6"/>
    </row>
    <row r="33" spans="1:14" ht="28.8" hidden="1">
      <c r="A33" s="9">
        <v>32</v>
      </c>
      <c r="B33" s="7" t="s">
        <v>77</v>
      </c>
      <c r="C33" s="8" t="s">
        <v>78</v>
      </c>
      <c r="D33" s="6" t="s">
        <v>20</v>
      </c>
      <c r="E33" s="6" t="str">
        <f t="shared" si="0"/>
        <v>ok</v>
      </c>
      <c r="F33" s="36"/>
      <c r="G33" s="6"/>
      <c r="H33" s="36"/>
      <c r="I33" s="6"/>
      <c r="J33" s="12"/>
      <c r="K33" s="6"/>
      <c r="L33" s="6"/>
      <c r="M33" s="6"/>
      <c r="N33" s="6"/>
    </row>
    <row r="34" spans="1:14" hidden="1">
      <c r="J34" s="3"/>
    </row>
    <row r="35" spans="1:14" hidden="1">
      <c r="J35" s="3"/>
    </row>
    <row r="36" spans="1:14" hidden="1">
      <c r="B36"/>
      <c r="C36" s="21" t="s">
        <v>79</v>
      </c>
      <c r="D36" s="21"/>
      <c r="E36" s="57">
        <v>0</v>
      </c>
      <c r="F36" s="57"/>
      <c r="G36" s="57"/>
      <c r="H36" s="58" t="s">
        <v>80</v>
      </c>
      <c r="I36" s="58"/>
      <c r="J36" s="14" t="s">
        <v>81</v>
      </c>
    </row>
    <row r="37" spans="1:14" hidden="1">
      <c r="B37"/>
      <c r="C37" s="59" t="s">
        <v>82</v>
      </c>
      <c r="D37" s="59"/>
      <c r="E37" s="15">
        <f>COUNTIF($D$2:$D$33,"Não se Aplica*")</f>
        <v>1</v>
      </c>
      <c r="F37" s="40"/>
      <c r="G37" s="16">
        <f>E37</f>
        <v>1</v>
      </c>
      <c r="H37" s="57">
        <f>G37</f>
        <v>1</v>
      </c>
      <c r="I37" s="57"/>
      <c r="J37" s="17" t="s">
        <v>83</v>
      </c>
    </row>
    <row r="38" spans="1:14" hidden="1">
      <c r="B38"/>
      <c r="C38" s="60" t="s">
        <v>84</v>
      </c>
      <c r="D38" s="60"/>
      <c r="E38" s="19">
        <f>COUNTIF($G$2:$G$33,"Baixa*")</f>
        <v>4</v>
      </c>
      <c r="F38" s="41"/>
      <c r="G38" s="54">
        <f>SUM(E38:E40)</f>
        <v>7</v>
      </c>
      <c r="H38" s="61" t="s">
        <v>85</v>
      </c>
      <c r="I38" s="61"/>
      <c r="J38" s="18" t="s">
        <v>86</v>
      </c>
    </row>
    <row r="39" spans="1:14" hidden="1">
      <c r="B39"/>
      <c r="C39" s="62" t="s">
        <v>87</v>
      </c>
      <c r="D39" s="62"/>
      <c r="E39" s="19">
        <f>COUNTIF($G$2:$G$33,"Media*")</f>
        <v>2</v>
      </c>
      <c r="F39" s="42"/>
      <c r="G39" s="55"/>
      <c r="H39" s="57">
        <v>30</v>
      </c>
      <c r="I39" s="57"/>
      <c r="J39" s="20" t="s">
        <v>88</v>
      </c>
    </row>
    <row r="40" spans="1:14" hidden="1">
      <c r="B40"/>
      <c r="C40" s="63" t="s">
        <v>89</v>
      </c>
      <c r="D40" s="63"/>
      <c r="E40" s="19">
        <f>COUNTIF($G$2:$G$33,"Alta*")</f>
        <v>1</v>
      </c>
      <c r="F40" s="43"/>
      <c r="G40" s="56"/>
      <c r="H40" s="37"/>
      <c r="I40" s="22"/>
      <c r="J40" s="22"/>
    </row>
    <row r="41" spans="1:14" hidden="1">
      <c r="B41"/>
      <c r="C41" s="51"/>
      <c r="D41" s="51"/>
      <c r="G41" s="24"/>
      <c r="H41" s="52" t="s">
        <v>90</v>
      </c>
      <c r="I41" s="53"/>
      <c r="J41" s="23" cm="1">
        <f t="array" ref="J41">1 - COUNTIF(D2:D33,"Não")/SUMPRODUCT(--(ISTEXT(D2:D33)), --(D2:D33&lt;&gt;""))</f>
        <v>0.78125</v>
      </c>
    </row>
    <row r="42" spans="1:14" hidden="1">
      <c r="J42" s="3"/>
    </row>
    <row r="43" spans="1:14" hidden="1">
      <c r="J43" s="3"/>
    </row>
    <row r="44" spans="1:14" hidden="1">
      <c r="E44" s="3">
        <f>COUNTIF($D$2:$D$33,"sim*")</f>
        <v>24</v>
      </c>
      <c r="J44" s="3"/>
    </row>
    <row r="45" spans="1:14" hidden="1">
      <c r="C45" s="5"/>
      <c r="E45" s="3">
        <f>COUNTIF($D$2:$D$33,"não")</f>
        <v>7</v>
      </c>
      <c r="J45" s="3"/>
    </row>
    <row r="46" spans="1:14" hidden="1">
      <c r="J46" s="3"/>
    </row>
    <row r="47" spans="1:14" hidden="1">
      <c r="J47" s="3"/>
    </row>
    <row r="48" spans="1:14" hidden="1">
      <c r="J48" s="3"/>
    </row>
    <row r="49" spans="2:8" s="3" customFormat="1" hidden="1">
      <c r="B49" s="4"/>
      <c r="C49" s="1"/>
      <c r="F49" s="38"/>
      <c r="H49" s="38"/>
    </row>
    <row r="50" spans="2:8" s="3" customFormat="1" hidden="1">
      <c r="B50" s="4"/>
      <c r="C50" s="1"/>
      <c r="F50" s="38"/>
      <c r="H50" s="38"/>
    </row>
    <row r="51" spans="2:8" s="3" customFormat="1" hidden="1">
      <c r="B51" s="4"/>
      <c r="C51" s="1"/>
      <c r="F51" s="38"/>
      <c r="H51" s="38"/>
    </row>
    <row r="52" spans="2:8" s="3" customFormat="1" hidden="1">
      <c r="B52" s="4"/>
      <c r="C52" s="1"/>
      <c r="F52" s="38"/>
      <c r="H52" s="38"/>
    </row>
    <row r="53" spans="2:8" s="3" customFormat="1" hidden="1">
      <c r="B53" s="4"/>
      <c r="C53" s="1"/>
      <c r="F53" s="38"/>
      <c r="H53" s="38"/>
    </row>
    <row r="54" spans="2:8" s="3" customFormat="1" hidden="1">
      <c r="B54" s="4"/>
      <c r="C54" s="1"/>
      <c r="F54" s="38"/>
      <c r="H54" s="38"/>
    </row>
    <row r="55" spans="2:8" s="3" customFormat="1" hidden="1">
      <c r="B55" s="4"/>
      <c r="C55" s="1"/>
      <c r="F55" s="38"/>
      <c r="H55" s="38"/>
    </row>
    <row r="56" spans="2:8" s="3" customFormat="1" hidden="1">
      <c r="B56" s="4"/>
      <c r="C56" s="1"/>
      <c r="F56" s="38"/>
      <c r="H56" s="38"/>
    </row>
    <row r="57" spans="2:8" s="3" customFormat="1" hidden="1">
      <c r="B57" s="4"/>
      <c r="C57" s="1"/>
      <c r="F57" s="38"/>
      <c r="H57" s="38"/>
    </row>
    <row r="58" spans="2:8" s="3" customFormat="1" hidden="1">
      <c r="B58" s="4"/>
      <c r="C58" s="1"/>
      <c r="F58" s="38"/>
      <c r="H58" s="38"/>
    </row>
    <row r="59" spans="2:8" s="3" customFormat="1" hidden="1">
      <c r="B59" s="4"/>
      <c r="C59" s="1"/>
      <c r="F59" s="38"/>
      <c r="H59" s="38"/>
    </row>
    <row r="60" spans="2:8" s="3" customFormat="1" hidden="1">
      <c r="B60" s="4"/>
      <c r="C60" s="1"/>
      <c r="F60" s="38"/>
      <c r="H60" s="38"/>
    </row>
    <row r="61" spans="2:8" s="3" customFormat="1" hidden="1">
      <c r="B61" s="4"/>
      <c r="C61" s="1"/>
      <c r="F61" s="38"/>
      <c r="H61" s="38"/>
    </row>
    <row r="62" spans="2:8" s="3" customFormat="1" hidden="1">
      <c r="B62" s="4"/>
      <c r="C62" s="1"/>
      <c r="F62" s="38"/>
      <c r="H62" s="38"/>
    </row>
    <row r="63" spans="2:8" s="3" customFormat="1" hidden="1">
      <c r="B63" s="4"/>
      <c r="C63" s="1"/>
      <c r="F63" s="38"/>
      <c r="H63" s="38"/>
    </row>
    <row r="64" spans="2:8" s="3" customFormat="1" hidden="1">
      <c r="B64" s="4"/>
      <c r="C64" s="1"/>
      <c r="F64" s="38"/>
      <c r="H64" s="38"/>
    </row>
    <row r="65" spans="2:8" s="3" customFormat="1" hidden="1">
      <c r="B65" s="4"/>
      <c r="C65" s="1"/>
      <c r="F65" s="38"/>
      <c r="H65" s="38"/>
    </row>
    <row r="66" spans="2:8" s="3" customFormat="1" hidden="1">
      <c r="B66" s="4"/>
      <c r="C66" s="1"/>
      <c r="F66" s="38"/>
      <c r="H66" s="38"/>
    </row>
    <row r="67" spans="2:8" s="3" customFormat="1" hidden="1">
      <c r="B67" s="4"/>
      <c r="C67" s="1"/>
      <c r="F67" s="38"/>
      <c r="H67" s="38"/>
    </row>
    <row r="68" spans="2:8" s="3" customFormat="1" hidden="1">
      <c r="B68" s="4"/>
      <c r="C68" s="1"/>
      <c r="F68" s="38"/>
      <c r="H68" s="38"/>
    </row>
    <row r="69" spans="2:8" s="3" customFormat="1" hidden="1">
      <c r="B69" s="4"/>
      <c r="C69" s="1"/>
      <c r="F69" s="38"/>
      <c r="H69" s="38"/>
    </row>
    <row r="70" spans="2:8" s="3" customFormat="1" hidden="1">
      <c r="B70" s="4"/>
      <c r="C70" s="1"/>
      <c r="F70" s="38"/>
      <c r="H70" s="38"/>
    </row>
    <row r="71" spans="2:8" s="3" customFormat="1" hidden="1">
      <c r="B71" s="4"/>
      <c r="C71" s="1"/>
      <c r="F71" s="38"/>
      <c r="H71" s="38"/>
    </row>
    <row r="72" spans="2:8" s="3" customFormat="1" hidden="1">
      <c r="B72" s="4"/>
      <c r="C72" s="1"/>
      <c r="F72" s="38"/>
      <c r="H72" s="38"/>
    </row>
    <row r="73" spans="2:8" s="3" customFormat="1" hidden="1">
      <c r="B73" s="4"/>
      <c r="C73" s="1"/>
      <c r="F73" s="38"/>
      <c r="H73" s="38"/>
    </row>
    <row r="74" spans="2:8" s="3" customFormat="1" hidden="1">
      <c r="B74" s="4"/>
      <c r="C74" s="1"/>
      <c r="F74" s="38"/>
      <c r="H74" s="38"/>
    </row>
    <row r="75" spans="2:8" s="3" customFormat="1" hidden="1">
      <c r="B75" s="4"/>
      <c r="C75" s="1"/>
      <c r="F75" s="38"/>
      <c r="H75" s="38"/>
    </row>
    <row r="76" spans="2:8" s="3" customFormat="1" hidden="1">
      <c r="B76" s="4"/>
      <c r="C76" s="1"/>
      <c r="F76" s="38"/>
      <c r="H76" s="38"/>
    </row>
    <row r="77" spans="2:8" s="3" customFormat="1" hidden="1">
      <c r="B77" s="4"/>
      <c r="C77" s="1"/>
      <c r="F77" s="38"/>
      <c r="H77" s="38"/>
    </row>
    <row r="78" spans="2:8" s="3" customFormat="1" hidden="1">
      <c r="B78" s="4"/>
      <c r="C78" s="1"/>
      <c r="F78" s="38"/>
      <c r="H78" s="38"/>
    </row>
    <row r="79" spans="2:8" s="3" customFormat="1" hidden="1">
      <c r="B79" s="4"/>
      <c r="C79" s="1"/>
      <c r="F79" s="38"/>
      <c r="H79" s="38"/>
    </row>
    <row r="80" spans="2:8" s="3" customFormat="1" hidden="1">
      <c r="B80" s="4"/>
      <c r="C80" s="1"/>
      <c r="F80" s="38"/>
      <c r="H80" s="38"/>
    </row>
    <row r="81" spans="2:8" s="3" customFormat="1" hidden="1">
      <c r="B81" s="4"/>
      <c r="C81" s="1"/>
      <c r="F81" s="38"/>
      <c r="H81" s="38"/>
    </row>
    <row r="82" spans="2:8" s="3" customFormat="1" hidden="1">
      <c r="B82" s="4"/>
      <c r="C82" s="1"/>
      <c r="F82" s="38"/>
      <c r="H82" s="38"/>
    </row>
    <row r="83" spans="2:8" s="3" customFormat="1" hidden="1">
      <c r="B83" s="4"/>
      <c r="C83" s="1"/>
      <c r="F83" s="38"/>
      <c r="H83" s="38"/>
    </row>
    <row r="84" spans="2:8" s="3" customFormat="1" hidden="1">
      <c r="B84" s="4"/>
      <c r="C84" s="1"/>
      <c r="F84" s="38"/>
      <c r="H84" s="38"/>
    </row>
    <row r="85" spans="2:8" s="3" customFormat="1" hidden="1">
      <c r="B85" s="4"/>
      <c r="C85" s="1"/>
      <c r="F85" s="38"/>
      <c r="H85" s="38"/>
    </row>
    <row r="86" spans="2:8" s="3" customFormat="1" hidden="1">
      <c r="B86" s="4"/>
      <c r="C86" s="1"/>
      <c r="F86" s="38"/>
      <c r="H86" s="38"/>
    </row>
    <row r="87" spans="2:8" s="3" customFormat="1" hidden="1">
      <c r="B87" s="4"/>
      <c r="C87" s="1"/>
      <c r="F87" s="38"/>
      <c r="H87" s="38"/>
    </row>
    <row r="88" spans="2:8" s="3" customFormat="1" hidden="1">
      <c r="B88" s="4"/>
      <c r="C88" s="1"/>
      <c r="F88" s="38"/>
      <c r="H88" s="38"/>
    </row>
  </sheetData>
  <autoFilter ref="A1:N88" xr:uid="{8C4BCBE4-A1E9-46FD-814B-80DFFEF3498D}">
    <filterColumn colId="3">
      <filters>
        <filter val="Não"/>
      </filters>
    </filterColumn>
  </autoFilter>
  <mergeCells count="12">
    <mergeCell ref="C41:D41"/>
    <mergeCell ref="H41:I41"/>
    <mergeCell ref="G38:G40"/>
    <mergeCell ref="E36:G36"/>
    <mergeCell ref="H36:I36"/>
    <mergeCell ref="C37:D37"/>
    <mergeCell ref="H37:I37"/>
    <mergeCell ref="C38:D38"/>
    <mergeCell ref="H38:I38"/>
    <mergeCell ref="C39:D39"/>
    <mergeCell ref="H39:I39"/>
    <mergeCell ref="C40:D40"/>
  </mergeCells>
  <phoneticPr fontId="4" type="noConversion"/>
  <conditionalFormatting sqref="D1:D1048576">
    <cfRule type="containsText" dxfId="20" priority="4" operator="containsText" text="não se aplica">
      <formula>NOT(ISERROR(SEARCH("não se aplica",D1)))</formula>
    </cfRule>
    <cfRule type="containsText" dxfId="19" priority="5" operator="containsText" text="Sim">
      <formula>NOT(ISERROR(SEARCH("Sim",D1)))</formula>
    </cfRule>
    <cfRule type="containsText" dxfId="18" priority="6" operator="containsText" text="Não">
      <formula>NOT(ISERROR(SEARCH("Não",D1)))</formula>
    </cfRule>
  </conditionalFormatting>
  <conditionalFormatting sqref="E1:F35">
    <cfRule type="containsText" dxfId="17" priority="10" operator="containsText" text="sim">
      <formula>NOT(ISERROR(SEARCH("sim",E1)))</formula>
    </cfRule>
    <cfRule type="containsText" dxfId="16" priority="11" operator="containsText" text="nao">
      <formula>NOT(ISERROR(SEARCH("nao",E1)))</formula>
    </cfRule>
    <cfRule type="cellIs" dxfId="15" priority="12" operator="equal">
      <formula>"nao conformidade"</formula>
    </cfRule>
    <cfRule type="cellIs" dxfId="14" priority="13" operator="equal">
      <formula>"ok"</formula>
    </cfRule>
  </conditionalFormatting>
  <conditionalFormatting sqref="E42:F87 E2:F35">
    <cfRule type="expression" dxfId="13" priority="21">
      <formula>"ok"</formula>
    </cfRule>
  </conditionalFormatting>
  <conditionalFormatting sqref="E42:F1048576">
    <cfRule type="containsText" dxfId="12" priority="17" operator="containsText" text="sim">
      <formula>NOT(ISERROR(SEARCH("sim",E42)))</formula>
    </cfRule>
    <cfRule type="containsText" dxfId="11" priority="18" operator="containsText" text="nao">
      <formula>NOT(ISERROR(SEARCH("nao",E42)))</formula>
    </cfRule>
    <cfRule type="cellIs" dxfId="10" priority="19" operator="equal">
      <formula>"nao conformidade"</formula>
    </cfRule>
    <cfRule type="cellIs" dxfId="9" priority="20" operator="equal">
      <formula>"ok"</formula>
    </cfRule>
  </conditionalFormatting>
  <conditionalFormatting sqref="G1:G1048576">
    <cfRule type="containsText" dxfId="8" priority="1" operator="containsText" text="alta">
      <formula>NOT(ISERROR(SEARCH("alta",G1)))</formula>
    </cfRule>
    <cfRule type="containsText" dxfId="7" priority="2" operator="containsText" text="media">
      <formula>NOT(ISERROR(SEARCH("media",G1)))</formula>
    </cfRule>
    <cfRule type="containsText" dxfId="6" priority="3" operator="containsText" text="baixa">
      <formula>NOT(ISERROR(SEARCH("baixa",G1)))</formula>
    </cfRule>
    <cfRule type="containsText" dxfId="5" priority="7" operator="containsText" text="baixa">
      <formula>NOT(ISERROR(SEARCH("baixa",G1)))</formula>
    </cfRule>
    <cfRule type="containsText" dxfId="4" priority="8" operator="containsText" text="media">
      <formula>NOT(ISERROR(SEARCH("media",G1)))</formula>
    </cfRule>
    <cfRule type="containsText" dxfId="3" priority="9" operator="containsText" text="alta">
      <formula>NOT(ISERROR(SEARCH("alta",G1)))</formula>
    </cfRule>
  </conditionalFormatting>
  <conditionalFormatting sqref="J41">
    <cfRule type="expression" dxfId="2" priority="14">
      <formula>AND(J41&gt;=61%,J41&lt;=90%)</formula>
    </cfRule>
    <cfRule type="expression" dxfId="1" priority="15">
      <formula>J41&gt;90%</formula>
    </cfRule>
    <cfRule type="expression" dxfId="0" priority="16">
      <formula>J41&lt;=60%</formula>
    </cfRule>
  </conditionalFormatting>
  <dataValidations count="6">
    <dataValidation type="list" allowBlank="1" showInputMessage="1" showErrorMessage="1" sqref="K2:L87" xr:uid="{49385E11-A38A-47E1-9FB1-4750945AE552}">
      <formula1>"Sim,Nao"</formula1>
    </dataValidation>
    <dataValidation type="list" allowBlank="1" showInputMessage="1" showErrorMessage="1" sqref="G34:G35 G42:G92" xr:uid="{BAF74937-7F3A-4633-81D9-E736E4A4E400}">
      <formula1>"Advertencia,baixa,media,alta,urgente"</formula1>
    </dataValidation>
    <dataValidation type="list" allowBlank="1" showInputMessage="1" showErrorMessage="1" sqref="D2:D35 D42:D92" xr:uid="{8A069E69-913B-4A46-82C4-23D23C457A8C}">
      <formula1>"Sim,Não,não se aplica"</formula1>
    </dataValidation>
    <dataValidation type="list" allowBlank="1" showInputMessage="1" showErrorMessage="1" sqref="G2:G33" xr:uid="{B7A2F41D-64D4-4EB9-8040-EA510C89A5CC}">
      <formula1>"baixa,media,alta"</formula1>
    </dataValidation>
    <dataValidation allowBlank="1" showInputMessage="1" showErrorMessage="1" sqref="E37:F41" xr:uid="{F6D66F81-8226-4D5E-9FC3-AD17E4A1364E}"/>
    <dataValidation type="list" allowBlank="1" showInputMessage="1" showErrorMessage="1" sqref="N1:N1048576" xr:uid="{C9E1FE87-9D8E-4BB0-AF6B-C4B0A1EED48C}">
      <formula1>"aberto,fechado,fechado por excecao,escalonado"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07C0-5331-47DC-BE1C-66B403C7F810}">
  <sheetPr codeName="Planilha2"/>
  <dimension ref="B3:N22"/>
  <sheetViews>
    <sheetView workbookViewId="0">
      <selection activeCell="K17" sqref="K17:N17"/>
    </sheetView>
  </sheetViews>
  <sheetFormatPr defaultRowHeight="14.4"/>
  <sheetData>
    <row r="3" spans="2:14">
      <c r="B3" s="64" t="s">
        <v>91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2:14" ht="51.6" customHeight="1">
      <c r="B4" s="64" t="s">
        <v>92</v>
      </c>
      <c r="C4" s="64"/>
      <c r="D4" s="64"/>
      <c r="E4" s="64"/>
      <c r="F4" s="64"/>
      <c r="G4" s="71" t="s">
        <v>93</v>
      </c>
      <c r="H4" s="71"/>
      <c r="I4" s="71"/>
      <c r="J4" s="71"/>
      <c r="K4" s="71"/>
      <c r="L4" s="71"/>
      <c r="M4" s="71"/>
      <c r="N4" s="71"/>
    </row>
    <row r="5" spans="2:14">
      <c r="B5" s="64" t="s">
        <v>94</v>
      </c>
      <c r="C5" s="64"/>
      <c r="D5" s="64"/>
      <c r="E5" s="64"/>
      <c r="F5" s="64"/>
      <c r="G5" s="65" t="s">
        <v>18</v>
      </c>
      <c r="H5" s="66"/>
      <c r="I5" s="66"/>
      <c r="J5" s="66"/>
      <c r="K5" s="66"/>
      <c r="L5" s="66"/>
      <c r="M5" s="66"/>
      <c r="N5" s="67"/>
    </row>
    <row r="6" spans="2:14">
      <c r="B6" s="64" t="s">
        <v>95</v>
      </c>
      <c r="C6" s="64"/>
      <c r="D6" s="64"/>
      <c r="E6" s="64"/>
      <c r="F6" s="64"/>
      <c r="G6" s="68">
        <v>46122.497916666667</v>
      </c>
      <c r="H6" s="69"/>
      <c r="I6" s="64" t="s">
        <v>96</v>
      </c>
      <c r="J6" s="64"/>
      <c r="K6" s="64"/>
      <c r="L6" s="64"/>
      <c r="M6" s="70">
        <v>46122.543055555558</v>
      </c>
      <c r="N6" s="70"/>
    </row>
    <row r="7" spans="2:14">
      <c r="B7" s="64" t="s">
        <v>97</v>
      </c>
      <c r="C7" s="64"/>
      <c r="D7" s="64"/>
      <c r="E7" s="64"/>
      <c r="F7" s="64"/>
      <c r="G7" s="65">
        <v>1</v>
      </c>
      <c r="H7" s="66"/>
      <c r="I7" s="66"/>
      <c r="J7" s="66"/>
      <c r="K7" s="66"/>
      <c r="L7" s="66"/>
      <c r="M7" s="66"/>
      <c r="N7" s="67"/>
    </row>
    <row r="8" spans="2:14">
      <c r="B8" s="64" t="s">
        <v>98</v>
      </c>
      <c r="C8" s="64"/>
      <c r="D8" s="64"/>
      <c r="E8" s="64"/>
      <c r="F8" s="64"/>
      <c r="G8" s="65" t="s">
        <v>99</v>
      </c>
      <c r="H8" s="66"/>
      <c r="I8" s="66"/>
      <c r="J8" s="66"/>
      <c r="K8" s="66"/>
      <c r="L8" s="66"/>
      <c r="M8" s="66"/>
      <c r="N8" s="67"/>
    </row>
    <row r="9" spans="2:14">
      <c r="B9" s="65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7"/>
    </row>
    <row r="10" spans="2:14">
      <c r="B10" s="64" t="s">
        <v>2</v>
      </c>
      <c r="C10" s="64"/>
      <c r="D10" s="64"/>
      <c r="E10" s="64"/>
      <c r="F10" s="64"/>
      <c r="G10" s="64" t="s">
        <v>100</v>
      </c>
      <c r="H10" s="64"/>
      <c r="I10" s="64"/>
      <c r="J10" s="64"/>
      <c r="K10" s="64" t="s">
        <v>101</v>
      </c>
      <c r="L10" s="64"/>
      <c r="M10" s="64"/>
      <c r="N10" s="64"/>
    </row>
    <row r="11" spans="2:14">
      <c r="B11" s="71" t="s">
        <v>102</v>
      </c>
      <c r="C11" s="71"/>
      <c r="D11" s="71"/>
      <c r="E11" s="71"/>
      <c r="F11" s="71"/>
      <c r="G11" s="72" t="s">
        <v>103</v>
      </c>
      <c r="H11" s="72"/>
      <c r="I11" s="72"/>
      <c r="J11" s="72"/>
      <c r="K11" s="71" t="s">
        <v>19</v>
      </c>
      <c r="L11" s="71"/>
      <c r="M11" s="71"/>
      <c r="N11" s="71"/>
    </row>
    <row r="12" spans="2:14">
      <c r="B12" s="71"/>
      <c r="C12" s="71"/>
      <c r="D12" s="71"/>
      <c r="E12" s="71"/>
      <c r="F12" s="71"/>
      <c r="G12" s="72"/>
      <c r="H12" s="72"/>
      <c r="I12" s="72"/>
      <c r="J12" s="72"/>
      <c r="K12" s="71"/>
      <c r="L12" s="71"/>
      <c r="M12" s="71"/>
      <c r="N12" s="71"/>
    </row>
    <row r="13" spans="2:14">
      <c r="B13" s="71"/>
      <c r="C13" s="71"/>
      <c r="D13" s="71"/>
      <c r="E13" s="71"/>
      <c r="F13" s="71"/>
      <c r="G13" s="72"/>
      <c r="H13" s="72"/>
      <c r="I13" s="72"/>
      <c r="J13" s="72"/>
      <c r="K13" s="71"/>
      <c r="L13" s="71"/>
      <c r="M13" s="71"/>
      <c r="N13" s="71"/>
    </row>
    <row r="14" spans="2:14">
      <c r="B14" s="71"/>
      <c r="C14" s="71"/>
      <c r="D14" s="71"/>
      <c r="E14" s="71"/>
      <c r="F14" s="71"/>
      <c r="G14" s="72"/>
      <c r="H14" s="72"/>
      <c r="I14" s="72"/>
      <c r="J14" s="72"/>
      <c r="K14" s="71"/>
      <c r="L14" s="71"/>
      <c r="M14" s="71"/>
      <c r="N14" s="71"/>
    </row>
    <row r="15" spans="2:14">
      <c r="B15" s="71"/>
      <c r="C15" s="71"/>
      <c r="D15" s="71"/>
      <c r="E15" s="71"/>
      <c r="F15" s="71"/>
      <c r="G15" s="72"/>
      <c r="H15" s="72"/>
      <c r="I15" s="72"/>
      <c r="J15" s="72"/>
      <c r="K15" s="71"/>
      <c r="L15" s="71"/>
      <c r="M15" s="71"/>
      <c r="N15" s="71"/>
    </row>
    <row r="16" spans="2:14">
      <c r="B16" s="64" t="s">
        <v>104</v>
      </c>
      <c r="C16" s="64"/>
      <c r="D16" s="64"/>
      <c r="E16" s="64"/>
      <c r="F16" s="64"/>
      <c r="G16" s="64" t="s">
        <v>105</v>
      </c>
      <c r="H16" s="64"/>
      <c r="I16" s="64"/>
      <c r="J16" s="64"/>
      <c r="K16" s="64" t="s">
        <v>106</v>
      </c>
      <c r="L16" s="64"/>
      <c r="M16" s="64"/>
      <c r="N16" s="64"/>
    </row>
    <row r="17" spans="2:14">
      <c r="B17" s="65">
        <v>1</v>
      </c>
      <c r="C17" s="66"/>
      <c r="D17" s="66"/>
      <c r="E17" s="66"/>
      <c r="F17" s="67"/>
      <c r="G17" s="65" t="s">
        <v>107</v>
      </c>
      <c r="H17" s="66"/>
      <c r="I17" s="66"/>
      <c r="J17" s="67"/>
      <c r="K17" s="68">
        <v>46122.543055555558</v>
      </c>
      <c r="L17" s="73"/>
      <c r="M17" s="73"/>
      <c r="N17" s="69"/>
    </row>
    <row r="18" spans="2:14">
      <c r="B18" s="74" t="s">
        <v>108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6"/>
    </row>
    <row r="19" spans="2:14">
      <c r="B19" s="77" t="s">
        <v>109</v>
      </c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9"/>
    </row>
    <row r="20" spans="2:14">
      <c r="B20" s="80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2"/>
    </row>
    <row r="21" spans="2:14">
      <c r="B21" s="80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2"/>
    </row>
    <row r="22" spans="2:14">
      <c r="B22" s="83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5"/>
    </row>
  </sheetData>
  <mergeCells count="28">
    <mergeCell ref="B17:F17"/>
    <mergeCell ref="G17:J17"/>
    <mergeCell ref="K17:N17"/>
    <mergeCell ref="B18:N18"/>
    <mergeCell ref="B19:N22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3:N3"/>
    <mergeCell ref="B4:F4"/>
    <mergeCell ref="G4:N4"/>
    <mergeCell ref="B5:F5"/>
    <mergeCell ref="G5:N5"/>
    <mergeCell ref="B8:F8"/>
    <mergeCell ref="G8:N8"/>
    <mergeCell ref="B6:F6"/>
    <mergeCell ref="G6:H6"/>
    <mergeCell ref="I6:L6"/>
    <mergeCell ref="M6:N6"/>
    <mergeCell ref="B7:F7"/>
    <mergeCell ref="G7:N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E1527-2DDB-4BC4-996E-3B4FBF07FBC9}">
  <dimension ref="B3:N22"/>
  <sheetViews>
    <sheetView workbookViewId="0">
      <selection activeCell="K17" sqref="K17:N17"/>
    </sheetView>
  </sheetViews>
  <sheetFormatPr defaultRowHeight="14.4"/>
  <sheetData>
    <row r="3" spans="2:14">
      <c r="B3" s="64" t="s">
        <v>91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2:14" ht="51.6" customHeight="1">
      <c r="B4" s="64" t="s">
        <v>92</v>
      </c>
      <c r="C4" s="64"/>
      <c r="D4" s="64"/>
      <c r="E4" s="64"/>
      <c r="F4" s="64"/>
      <c r="G4" s="71" t="s">
        <v>93</v>
      </c>
      <c r="H4" s="71"/>
      <c r="I4" s="71"/>
      <c r="J4" s="71"/>
      <c r="K4" s="71"/>
      <c r="L4" s="71"/>
      <c r="M4" s="71"/>
      <c r="N4" s="71"/>
    </row>
    <row r="5" spans="2:14" ht="14.4" customHeight="1">
      <c r="B5" s="64" t="s">
        <v>94</v>
      </c>
      <c r="C5" s="64"/>
      <c r="D5" s="64"/>
      <c r="E5" s="64"/>
      <c r="F5" s="64"/>
      <c r="G5" s="65" t="s">
        <v>110</v>
      </c>
      <c r="H5" s="66"/>
      <c r="I5" s="66"/>
      <c r="J5" s="66"/>
      <c r="K5" s="66"/>
      <c r="L5" s="66"/>
      <c r="M5" s="66"/>
      <c r="N5" s="67"/>
    </row>
    <row r="6" spans="2:14">
      <c r="B6" s="64" t="s">
        <v>111</v>
      </c>
      <c r="C6" s="64"/>
      <c r="D6" s="64"/>
      <c r="E6" s="64"/>
      <c r="F6" s="64"/>
      <c r="G6" s="86">
        <v>46122.501388888886</v>
      </c>
      <c r="H6" s="86"/>
      <c r="I6" s="64" t="s">
        <v>112</v>
      </c>
      <c r="J6" s="64"/>
      <c r="K6" s="64"/>
      <c r="L6" s="64"/>
      <c r="M6" s="86">
        <v>46126.5</v>
      </c>
      <c r="N6" s="86"/>
    </row>
    <row r="7" spans="2:14">
      <c r="B7" s="64" t="s">
        <v>97</v>
      </c>
      <c r="C7" s="64"/>
      <c r="D7" s="64"/>
      <c r="E7" s="64"/>
      <c r="F7" s="64"/>
      <c r="G7" s="65">
        <v>1</v>
      </c>
      <c r="H7" s="66"/>
      <c r="I7" s="66"/>
      <c r="J7" s="66"/>
      <c r="K7" s="66"/>
      <c r="L7" s="66"/>
      <c r="M7" s="66"/>
      <c r="N7" s="67"/>
    </row>
    <row r="8" spans="2:14">
      <c r="B8" s="64" t="s">
        <v>98</v>
      </c>
      <c r="C8" s="64"/>
      <c r="D8" s="64"/>
      <c r="E8" s="64"/>
      <c r="F8" s="64"/>
      <c r="G8" s="65" t="s">
        <v>99</v>
      </c>
      <c r="H8" s="66"/>
      <c r="I8" s="66"/>
      <c r="J8" s="66"/>
      <c r="K8" s="66"/>
      <c r="L8" s="66"/>
      <c r="M8" s="66"/>
      <c r="N8" s="67"/>
    </row>
    <row r="9" spans="2:14">
      <c r="B9" s="65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7"/>
    </row>
    <row r="10" spans="2:14">
      <c r="B10" s="64" t="s">
        <v>2</v>
      </c>
      <c r="C10" s="64"/>
      <c r="D10" s="64"/>
      <c r="E10" s="64"/>
      <c r="F10" s="64"/>
      <c r="G10" s="64" t="s">
        <v>100</v>
      </c>
      <c r="H10" s="64"/>
      <c r="I10" s="64"/>
      <c r="J10" s="64"/>
      <c r="K10" s="64" t="s">
        <v>101</v>
      </c>
      <c r="L10" s="64"/>
      <c r="M10" s="64"/>
      <c r="N10" s="64"/>
    </row>
    <row r="11" spans="2:14">
      <c r="B11" s="87" t="s">
        <v>25</v>
      </c>
      <c r="C11" s="87"/>
      <c r="D11" s="87"/>
      <c r="E11" s="87"/>
      <c r="F11" s="87"/>
      <c r="G11" s="72" t="s">
        <v>113</v>
      </c>
      <c r="H11" s="72"/>
      <c r="I11" s="72"/>
      <c r="J11" s="72"/>
      <c r="K11" s="71" t="s">
        <v>27</v>
      </c>
      <c r="L11" s="71"/>
      <c r="M11" s="71"/>
      <c r="N11" s="71"/>
    </row>
    <row r="12" spans="2:14">
      <c r="B12" s="87"/>
      <c r="C12" s="87"/>
      <c r="D12" s="87"/>
      <c r="E12" s="87"/>
      <c r="F12" s="87"/>
      <c r="G12" s="72"/>
      <c r="H12" s="72"/>
      <c r="I12" s="72"/>
      <c r="J12" s="72"/>
      <c r="K12" s="71"/>
      <c r="L12" s="71"/>
      <c r="M12" s="71"/>
      <c r="N12" s="71"/>
    </row>
    <row r="13" spans="2:14">
      <c r="B13" s="87"/>
      <c r="C13" s="87"/>
      <c r="D13" s="87"/>
      <c r="E13" s="87"/>
      <c r="F13" s="87"/>
      <c r="G13" s="72"/>
      <c r="H13" s="72"/>
      <c r="I13" s="72"/>
      <c r="J13" s="72"/>
      <c r="K13" s="71"/>
      <c r="L13" s="71"/>
      <c r="M13" s="71"/>
      <c r="N13" s="71"/>
    </row>
    <row r="14" spans="2:14">
      <c r="B14" s="87"/>
      <c r="C14" s="87"/>
      <c r="D14" s="87"/>
      <c r="E14" s="87"/>
      <c r="F14" s="87"/>
      <c r="G14" s="72"/>
      <c r="H14" s="72"/>
      <c r="I14" s="72"/>
      <c r="J14" s="72"/>
      <c r="K14" s="71"/>
      <c r="L14" s="71"/>
      <c r="M14" s="71"/>
      <c r="N14" s="71"/>
    </row>
    <row r="15" spans="2:14">
      <c r="B15" s="87"/>
      <c r="C15" s="87"/>
      <c r="D15" s="87"/>
      <c r="E15" s="87"/>
      <c r="F15" s="87"/>
      <c r="G15" s="72"/>
      <c r="H15" s="72"/>
      <c r="I15" s="72"/>
      <c r="J15" s="72"/>
      <c r="K15" s="71"/>
      <c r="L15" s="71"/>
      <c r="M15" s="71"/>
      <c r="N15" s="71"/>
    </row>
    <row r="16" spans="2:14">
      <c r="B16" s="64" t="s">
        <v>104</v>
      </c>
      <c r="C16" s="64"/>
      <c r="D16" s="64"/>
      <c r="E16" s="64"/>
      <c r="F16" s="64"/>
      <c r="G16" s="64" t="s">
        <v>105</v>
      </c>
      <c r="H16" s="64"/>
      <c r="I16" s="64"/>
      <c r="J16" s="64"/>
      <c r="K16" s="64" t="s">
        <v>106</v>
      </c>
      <c r="L16" s="64"/>
      <c r="M16" s="64"/>
      <c r="N16" s="64"/>
    </row>
    <row r="17" spans="2:14">
      <c r="B17" s="65">
        <v>1</v>
      </c>
      <c r="C17" s="66"/>
      <c r="D17" s="66"/>
      <c r="E17" s="66"/>
      <c r="F17" s="67"/>
      <c r="G17" s="65" t="s">
        <v>114</v>
      </c>
      <c r="H17" s="66"/>
      <c r="I17" s="66"/>
      <c r="J17" s="67"/>
      <c r="K17" s="68">
        <v>46126.541666666664</v>
      </c>
      <c r="L17" s="73"/>
      <c r="M17" s="73"/>
      <c r="N17" s="69"/>
    </row>
    <row r="18" spans="2:14">
      <c r="B18" s="74" t="s">
        <v>108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6"/>
    </row>
    <row r="19" spans="2:14">
      <c r="B19" s="77" t="s">
        <v>109</v>
      </c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9"/>
    </row>
    <row r="20" spans="2:14">
      <c r="B20" s="80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2"/>
    </row>
    <row r="21" spans="2:14">
      <c r="B21" s="80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2"/>
    </row>
    <row r="22" spans="2:14">
      <c r="B22" s="83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5"/>
    </row>
  </sheetData>
  <mergeCells count="28">
    <mergeCell ref="B17:F17"/>
    <mergeCell ref="G17:J17"/>
    <mergeCell ref="K17:N17"/>
    <mergeCell ref="B18:N18"/>
    <mergeCell ref="B19:N22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3:N3"/>
    <mergeCell ref="B4:F4"/>
    <mergeCell ref="G4:N4"/>
    <mergeCell ref="B5:F5"/>
    <mergeCell ref="G5:N5"/>
    <mergeCell ref="B8:F8"/>
    <mergeCell ref="G8:N8"/>
    <mergeCell ref="B6:F6"/>
    <mergeCell ref="G6:H6"/>
    <mergeCell ref="I6:L6"/>
    <mergeCell ref="M6:N6"/>
    <mergeCell ref="B7:F7"/>
    <mergeCell ref="G7:N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5FF70-0431-4328-AEC8-236012D2154F}">
  <dimension ref="B3:N22"/>
  <sheetViews>
    <sheetView zoomScale="85" zoomScaleNormal="85" workbookViewId="0">
      <selection activeCell="K17" sqref="K17:N17"/>
    </sheetView>
  </sheetViews>
  <sheetFormatPr defaultRowHeight="14.4"/>
  <sheetData>
    <row r="3" spans="2:14">
      <c r="B3" s="64" t="s">
        <v>91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2:14" ht="40.200000000000003" customHeight="1">
      <c r="B4" s="64" t="s">
        <v>115</v>
      </c>
      <c r="C4" s="64"/>
      <c r="D4" s="64"/>
      <c r="E4" s="64"/>
      <c r="F4" s="64"/>
      <c r="G4" s="89" t="s">
        <v>116</v>
      </c>
      <c r="H4" s="66"/>
      <c r="I4" s="66"/>
      <c r="J4" s="66"/>
      <c r="K4" s="66"/>
      <c r="L4" s="66"/>
      <c r="M4" s="66"/>
      <c r="N4" s="67"/>
    </row>
    <row r="5" spans="2:14">
      <c r="B5" s="64" t="s">
        <v>8</v>
      </c>
      <c r="C5" s="64"/>
      <c r="D5" s="64"/>
      <c r="E5" s="64"/>
      <c r="F5" s="64"/>
      <c r="G5" s="65" t="s">
        <v>110</v>
      </c>
      <c r="H5" s="66"/>
      <c r="I5" s="66"/>
      <c r="J5" s="66"/>
      <c r="K5" s="66"/>
      <c r="L5" s="66"/>
      <c r="M5" s="66"/>
      <c r="N5" s="67"/>
    </row>
    <row r="6" spans="2:14">
      <c r="B6" s="64" t="s">
        <v>117</v>
      </c>
      <c r="C6" s="64"/>
      <c r="D6" s="64"/>
      <c r="E6" s="64"/>
      <c r="F6" s="64"/>
      <c r="G6" s="88" t="s">
        <v>118</v>
      </c>
      <c r="H6" s="72"/>
      <c r="I6" s="64" t="s">
        <v>96</v>
      </c>
      <c r="J6" s="64"/>
      <c r="K6" s="64"/>
      <c r="L6" s="64"/>
      <c r="M6" s="88" t="s">
        <v>35</v>
      </c>
      <c r="N6" s="72"/>
    </row>
    <row r="7" spans="2:14">
      <c r="B7" s="64" t="s">
        <v>119</v>
      </c>
      <c r="C7" s="64"/>
      <c r="D7" s="64"/>
      <c r="E7" s="64"/>
      <c r="F7" s="64"/>
      <c r="G7" s="65">
        <v>1</v>
      </c>
      <c r="H7" s="66"/>
      <c r="I7" s="66"/>
      <c r="J7" s="66"/>
      <c r="K7" s="66"/>
      <c r="L7" s="66"/>
      <c r="M7" s="66"/>
      <c r="N7" s="67"/>
    </row>
    <row r="8" spans="2:14">
      <c r="B8" s="64" t="s">
        <v>120</v>
      </c>
      <c r="C8" s="64"/>
      <c r="D8" s="64"/>
      <c r="E8" s="64"/>
      <c r="F8" s="64"/>
      <c r="G8" s="65" t="s">
        <v>121</v>
      </c>
      <c r="H8" s="66"/>
      <c r="I8" s="66"/>
      <c r="J8" s="66"/>
      <c r="K8" s="66"/>
      <c r="L8" s="66"/>
      <c r="M8" s="66"/>
      <c r="N8" s="67"/>
    </row>
    <row r="9" spans="2:14">
      <c r="B9" s="65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7"/>
    </row>
    <row r="10" spans="2:14">
      <c r="B10" s="64" t="s">
        <v>2</v>
      </c>
      <c r="C10" s="64"/>
      <c r="D10" s="64"/>
      <c r="E10" s="64"/>
      <c r="F10" s="64"/>
      <c r="G10" s="64" t="s">
        <v>100</v>
      </c>
      <c r="H10" s="64"/>
      <c r="I10" s="64"/>
      <c r="J10" s="64"/>
      <c r="K10" s="64" t="s">
        <v>101</v>
      </c>
      <c r="L10" s="64"/>
      <c r="M10" s="64"/>
      <c r="N10" s="64"/>
    </row>
    <row r="11" spans="2:14">
      <c r="B11" s="90" t="s">
        <v>122</v>
      </c>
      <c r="C11" s="91"/>
      <c r="D11" s="91"/>
      <c r="E11" s="91"/>
      <c r="F11" s="92"/>
      <c r="G11" s="99" t="s">
        <v>123</v>
      </c>
      <c r="H11" s="99"/>
      <c r="I11" s="99"/>
      <c r="J11" s="99"/>
      <c r="K11" s="100" t="s">
        <v>124</v>
      </c>
      <c r="L11" s="101"/>
      <c r="M11" s="101"/>
      <c r="N11" s="101"/>
    </row>
    <row r="12" spans="2:14">
      <c r="B12" s="93"/>
      <c r="C12" s="94"/>
      <c r="D12" s="94"/>
      <c r="E12" s="94"/>
      <c r="F12" s="95"/>
      <c r="G12" s="99"/>
      <c r="H12" s="99"/>
      <c r="I12" s="99"/>
      <c r="J12" s="99"/>
      <c r="K12" s="101"/>
      <c r="L12" s="101"/>
      <c r="M12" s="101"/>
      <c r="N12" s="101"/>
    </row>
    <row r="13" spans="2:14">
      <c r="B13" s="93"/>
      <c r="C13" s="94"/>
      <c r="D13" s="94"/>
      <c r="E13" s="94"/>
      <c r="F13" s="95"/>
      <c r="G13" s="99"/>
      <c r="H13" s="99"/>
      <c r="I13" s="99"/>
      <c r="J13" s="99"/>
      <c r="K13" s="101"/>
      <c r="L13" s="101"/>
      <c r="M13" s="101"/>
      <c r="N13" s="101"/>
    </row>
    <row r="14" spans="2:14">
      <c r="B14" s="93"/>
      <c r="C14" s="94"/>
      <c r="D14" s="94"/>
      <c r="E14" s="94"/>
      <c r="F14" s="95"/>
      <c r="G14" s="99"/>
      <c r="H14" s="99"/>
      <c r="I14" s="99"/>
      <c r="J14" s="99"/>
      <c r="K14" s="101"/>
      <c r="L14" s="101"/>
      <c r="M14" s="101"/>
      <c r="N14" s="101"/>
    </row>
    <row r="15" spans="2:14">
      <c r="B15" s="96"/>
      <c r="C15" s="97"/>
      <c r="D15" s="97"/>
      <c r="E15" s="97"/>
      <c r="F15" s="98"/>
      <c r="G15" s="99"/>
      <c r="H15" s="99"/>
      <c r="I15" s="99"/>
      <c r="J15" s="99"/>
      <c r="K15" s="101"/>
      <c r="L15" s="101"/>
      <c r="M15" s="101"/>
      <c r="N15" s="101"/>
    </row>
    <row r="16" spans="2:14">
      <c r="B16" s="64" t="s">
        <v>104</v>
      </c>
      <c r="C16" s="64"/>
      <c r="D16" s="64"/>
      <c r="E16" s="64"/>
      <c r="F16" s="64"/>
      <c r="G16" s="64" t="s">
        <v>105</v>
      </c>
      <c r="H16" s="64"/>
      <c r="I16" s="64"/>
      <c r="J16" s="64"/>
      <c r="K16" s="64" t="s">
        <v>106</v>
      </c>
      <c r="L16" s="64"/>
      <c r="M16" s="64"/>
      <c r="N16" s="64"/>
    </row>
    <row r="17" spans="2:14">
      <c r="B17" s="65">
        <v>1</v>
      </c>
      <c r="C17" s="66"/>
      <c r="D17" s="66"/>
      <c r="E17" s="66"/>
      <c r="F17" s="67"/>
      <c r="G17" s="65" t="s">
        <v>125</v>
      </c>
      <c r="H17" s="66"/>
      <c r="I17" s="66"/>
      <c r="J17" s="67"/>
      <c r="K17" s="102" t="s">
        <v>35</v>
      </c>
      <c r="L17" s="66"/>
      <c r="M17" s="66"/>
      <c r="N17" s="67"/>
    </row>
    <row r="18" spans="2:14">
      <c r="B18" s="74" t="s">
        <v>108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6"/>
    </row>
    <row r="19" spans="2:14">
      <c r="B19" s="77" t="s">
        <v>109</v>
      </c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9"/>
    </row>
    <row r="20" spans="2:14">
      <c r="B20" s="80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2"/>
    </row>
    <row r="21" spans="2:14">
      <c r="B21" s="80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2"/>
    </row>
    <row r="22" spans="2:14">
      <c r="B22" s="83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5"/>
    </row>
  </sheetData>
  <mergeCells count="28">
    <mergeCell ref="B17:F17"/>
    <mergeCell ref="G17:J17"/>
    <mergeCell ref="K17:N17"/>
    <mergeCell ref="B18:N18"/>
    <mergeCell ref="B19:N22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3:N3"/>
    <mergeCell ref="B4:F4"/>
    <mergeCell ref="G4:N4"/>
    <mergeCell ref="B5:F5"/>
    <mergeCell ref="G5:N5"/>
    <mergeCell ref="B8:F8"/>
    <mergeCell ref="G8:N8"/>
    <mergeCell ref="B6:F6"/>
    <mergeCell ref="G6:H6"/>
    <mergeCell ref="I6:L6"/>
    <mergeCell ref="M6:N6"/>
    <mergeCell ref="B7:F7"/>
    <mergeCell ref="G7:N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FCE4-77CB-4319-8D98-D3ADE0B392E1}">
  <dimension ref="B3:N22"/>
  <sheetViews>
    <sheetView workbookViewId="0">
      <selection activeCell="K17" sqref="K17:N17"/>
    </sheetView>
  </sheetViews>
  <sheetFormatPr defaultRowHeight="14.4"/>
  <sheetData>
    <row r="3" spans="2:14">
      <c r="B3" s="64" t="s">
        <v>91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2:14">
      <c r="B4" s="64" t="s">
        <v>115</v>
      </c>
      <c r="C4" s="64"/>
      <c r="D4" s="64"/>
      <c r="E4" s="64"/>
      <c r="F4" s="64"/>
      <c r="G4" s="89" t="s">
        <v>116</v>
      </c>
      <c r="H4" s="66"/>
      <c r="I4" s="66"/>
      <c r="J4" s="66"/>
      <c r="K4" s="66"/>
      <c r="L4" s="66"/>
      <c r="M4" s="66"/>
      <c r="N4" s="67"/>
    </row>
    <row r="5" spans="2:14">
      <c r="B5" s="64" t="s">
        <v>8</v>
      </c>
      <c r="C5" s="64"/>
      <c r="D5" s="64"/>
      <c r="E5" s="64"/>
      <c r="F5" s="64"/>
      <c r="G5" s="65" t="s">
        <v>110</v>
      </c>
      <c r="H5" s="66"/>
      <c r="I5" s="66"/>
      <c r="J5" s="66"/>
      <c r="K5" s="66"/>
      <c r="L5" s="66"/>
      <c r="M5" s="66"/>
      <c r="N5" s="67"/>
    </row>
    <row r="6" spans="2:14">
      <c r="B6" s="64" t="s">
        <v>117</v>
      </c>
      <c r="C6" s="64"/>
      <c r="D6" s="64"/>
      <c r="E6" s="64"/>
      <c r="F6" s="64"/>
      <c r="G6" s="88" t="s">
        <v>126</v>
      </c>
      <c r="H6" s="72"/>
      <c r="I6" s="64" t="s">
        <v>96</v>
      </c>
      <c r="J6" s="64"/>
      <c r="K6" s="64"/>
      <c r="L6" s="64"/>
      <c r="M6" s="88" t="s">
        <v>42</v>
      </c>
      <c r="N6" s="72"/>
    </row>
    <row r="7" spans="2:14">
      <c r="B7" s="64" t="s">
        <v>119</v>
      </c>
      <c r="C7" s="64"/>
      <c r="D7" s="64"/>
      <c r="E7" s="64"/>
      <c r="F7" s="64"/>
      <c r="G7" s="65">
        <v>1</v>
      </c>
      <c r="H7" s="66"/>
      <c r="I7" s="66"/>
      <c r="J7" s="66"/>
      <c r="K7" s="66"/>
      <c r="L7" s="66"/>
      <c r="M7" s="66"/>
      <c r="N7" s="67"/>
    </row>
    <row r="8" spans="2:14">
      <c r="B8" s="64" t="s">
        <v>120</v>
      </c>
      <c r="C8" s="64"/>
      <c r="D8" s="64"/>
      <c r="E8" s="64"/>
      <c r="F8" s="64"/>
      <c r="G8" s="65" t="s">
        <v>127</v>
      </c>
      <c r="H8" s="66"/>
      <c r="I8" s="66"/>
      <c r="J8" s="66"/>
      <c r="K8" s="66"/>
      <c r="L8" s="66"/>
      <c r="M8" s="66"/>
      <c r="N8" s="67"/>
    </row>
    <row r="9" spans="2:14">
      <c r="B9" s="65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7"/>
    </row>
    <row r="10" spans="2:14">
      <c r="B10" s="64" t="s">
        <v>2</v>
      </c>
      <c r="C10" s="64"/>
      <c r="D10" s="64"/>
      <c r="E10" s="64"/>
      <c r="F10" s="64"/>
      <c r="G10" s="64" t="s">
        <v>100</v>
      </c>
      <c r="H10" s="64"/>
      <c r="I10" s="64"/>
      <c r="J10" s="64"/>
      <c r="K10" s="64" t="s">
        <v>101</v>
      </c>
      <c r="L10" s="64"/>
      <c r="M10" s="64"/>
      <c r="N10" s="64"/>
    </row>
    <row r="11" spans="2:14">
      <c r="B11" s="101" t="s">
        <v>39</v>
      </c>
      <c r="C11" s="101"/>
      <c r="D11" s="101"/>
      <c r="E11" s="101"/>
      <c r="F11" s="101"/>
      <c r="G11" s="99" t="s">
        <v>128</v>
      </c>
      <c r="H11" s="99"/>
      <c r="I11" s="99"/>
      <c r="J11" s="99"/>
      <c r="K11" s="101" t="s">
        <v>41</v>
      </c>
      <c r="L11" s="101"/>
      <c r="M11" s="101"/>
      <c r="N11" s="101"/>
    </row>
    <row r="12" spans="2:14">
      <c r="B12" s="101"/>
      <c r="C12" s="101"/>
      <c r="D12" s="101"/>
      <c r="E12" s="101"/>
      <c r="F12" s="101"/>
      <c r="G12" s="99"/>
      <c r="H12" s="99"/>
      <c r="I12" s="99"/>
      <c r="J12" s="99"/>
      <c r="K12" s="101"/>
      <c r="L12" s="101"/>
      <c r="M12" s="101"/>
      <c r="N12" s="101"/>
    </row>
    <row r="13" spans="2:14">
      <c r="B13" s="101"/>
      <c r="C13" s="101"/>
      <c r="D13" s="101"/>
      <c r="E13" s="101"/>
      <c r="F13" s="101"/>
      <c r="G13" s="99"/>
      <c r="H13" s="99"/>
      <c r="I13" s="99"/>
      <c r="J13" s="99"/>
      <c r="K13" s="101"/>
      <c r="L13" s="101"/>
      <c r="M13" s="101"/>
      <c r="N13" s="101"/>
    </row>
    <row r="14" spans="2:14">
      <c r="B14" s="101"/>
      <c r="C14" s="101"/>
      <c r="D14" s="101"/>
      <c r="E14" s="101"/>
      <c r="F14" s="101"/>
      <c r="G14" s="99"/>
      <c r="H14" s="99"/>
      <c r="I14" s="99"/>
      <c r="J14" s="99"/>
      <c r="K14" s="101"/>
      <c r="L14" s="101"/>
      <c r="M14" s="101"/>
      <c r="N14" s="101"/>
    </row>
    <row r="15" spans="2:14">
      <c r="B15" s="101"/>
      <c r="C15" s="101"/>
      <c r="D15" s="101"/>
      <c r="E15" s="101"/>
      <c r="F15" s="101"/>
      <c r="G15" s="99"/>
      <c r="H15" s="99"/>
      <c r="I15" s="99"/>
      <c r="J15" s="99"/>
      <c r="K15" s="101"/>
      <c r="L15" s="101"/>
      <c r="M15" s="101"/>
      <c r="N15" s="101"/>
    </row>
    <row r="16" spans="2:14">
      <c r="B16" s="64" t="s">
        <v>104</v>
      </c>
      <c r="C16" s="64"/>
      <c r="D16" s="64"/>
      <c r="E16" s="64"/>
      <c r="F16" s="64"/>
      <c r="G16" s="64" t="s">
        <v>105</v>
      </c>
      <c r="H16" s="64"/>
      <c r="I16" s="64"/>
      <c r="J16" s="64"/>
      <c r="K16" s="64" t="s">
        <v>106</v>
      </c>
      <c r="L16" s="64"/>
      <c r="M16" s="64"/>
      <c r="N16" s="64"/>
    </row>
    <row r="17" spans="2:14">
      <c r="B17" s="65">
        <v>1</v>
      </c>
      <c r="C17" s="66"/>
      <c r="D17" s="66"/>
      <c r="E17" s="66"/>
      <c r="F17" s="67"/>
      <c r="G17" s="65" t="s">
        <v>114</v>
      </c>
      <c r="H17" s="66"/>
      <c r="I17" s="66"/>
      <c r="J17" s="67"/>
      <c r="K17" s="102" t="s">
        <v>42</v>
      </c>
      <c r="L17" s="66"/>
      <c r="M17" s="66"/>
      <c r="N17" s="67"/>
    </row>
    <row r="18" spans="2:14">
      <c r="B18" s="74" t="s">
        <v>108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6"/>
    </row>
    <row r="19" spans="2:14">
      <c r="B19" s="77" t="s">
        <v>109</v>
      </c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9"/>
    </row>
    <row r="20" spans="2:14">
      <c r="B20" s="80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2"/>
    </row>
    <row r="21" spans="2:14">
      <c r="B21" s="80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2"/>
    </row>
    <row r="22" spans="2:14">
      <c r="B22" s="83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5"/>
    </row>
  </sheetData>
  <mergeCells count="28">
    <mergeCell ref="B17:F17"/>
    <mergeCell ref="G17:J17"/>
    <mergeCell ref="K17:N17"/>
    <mergeCell ref="B18:N18"/>
    <mergeCell ref="B19:N22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3:N3"/>
    <mergeCell ref="B4:F4"/>
    <mergeCell ref="G4:N4"/>
    <mergeCell ref="B5:F5"/>
    <mergeCell ref="G5:N5"/>
    <mergeCell ref="B8:F8"/>
    <mergeCell ref="G8:N8"/>
    <mergeCell ref="B6:F6"/>
    <mergeCell ref="G6:H6"/>
    <mergeCell ref="I6:L6"/>
    <mergeCell ref="M6:N6"/>
    <mergeCell ref="B7:F7"/>
    <mergeCell ref="G7:N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DCAD-9438-48AB-B95F-F7E765CEF7EA}">
  <dimension ref="B3:S22"/>
  <sheetViews>
    <sheetView workbookViewId="0">
      <selection activeCell="G17" sqref="G17:J17"/>
    </sheetView>
  </sheetViews>
  <sheetFormatPr defaultRowHeight="14.4"/>
  <sheetData>
    <row r="3" spans="2:19">
      <c r="B3" s="64" t="s">
        <v>91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2:19">
      <c r="B4" s="64" t="s">
        <v>92</v>
      </c>
      <c r="C4" s="64"/>
      <c r="D4" s="64"/>
      <c r="E4" s="64"/>
      <c r="F4" s="64"/>
      <c r="G4" s="89" t="s">
        <v>129</v>
      </c>
      <c r="H4" s="66"/>
      <c r="I4" s="66"/>
      <c r="J4" s="66"/>
      <c r="K4" s="66"/>
      <c r="L4" s="66"/>
      <c r="M4" s="66"/>
      <c r="N4" s="67"/>
    </row>
    <row r="5" spans="2:19">
      <c r="B5" s="64" t="s">
        <v>94</v>
      </c>
      <c r="C5" s="64"/>
      <c r="D5" s="64"/>
      <c r="E5" s="64"/>
      <c r="F5" s="64"/>
      <c r="G5" s="65" t="s">
        <v>130</v>
      </c>
      <c r="H5" s="66"/>
      <c r="I5" s="66"/>
      <c r="J5" s="66"/>
      <c r="K5" s="66"/>
      <c r="L5" s="66"/>
      <c r="M5" s="66"/>
      <c r="N5" s="67"/>
      <c r="S5" s="48"/>
    </row>
    <row r="6" spans="2:19">
      <c r="B6" s="64" t="s">
        <v>111</v>
      </c>
      <c r="C6" s="64"/>
      <c r="D6" s="64"/>
      <c r="E6" s="64"/>
      <c r="F6" s="64"/>
      <c r="G6" s="68">
        <v>46122.504861111112</v>
      </c>
      <c r="H6" s="69"/>
      <c r="I6" s="74" t="s">
        <v>96</v>
      </c>
      <c r="J6" s="75"/>
      <c r="K6" s="75"/>
      <c r="L6" s="76"/>
      <c r="M6" s="68">
        <v>46126.504861111112</v>
      </c>
      <c r="N6" s="69"/>
    </row>
    <row r="7" spans="2:19">
      <c r="B7" s="64" t="s">
        <v>97</v>
      </c>
      <c r="C7" s="64"/>
      <c r="D7" s="64"/>
      <c r="E7" s="64"/>
      <c r="F7" s="64"/>
      <c r="G7" s="65">
        <v>1</v>
      </c>
      <c r="H7" s="66"/>
      <c r="I7" s="66"/>
      <c r="J7" s="66"/>
      <c r="K7" s="66"/>
      <c r="L7" s="66"/>
      <c r="M7" s="66"/>
      <c r="N7" s="67"/>
    </row>
    <row r="8" spans="2:19">
      <c r="B8" s="64" t="s">
        <v>98</v>
      </c>
      <c r="C8" s="64"/>
      <c r="D8" s="64"/>
      <c r="E8" s="64"/>
      <c r="F8" s="64"/>
      <c r="G8" s="65" t="s">
        <v>127</v>
      </c>
      <c r="H8" s="66"/>
      <c r="I8" s="66"/>
      <c r="J8" s="66"/>
      <c r="K8" s="66"/>
      <c r="L8" s="66"/>
      <c r="M8" s="66"/>
      <c r="N8" s="67"/>
    </row>
    <row r="9" spans="2:19">
      <c r="B9" s="65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7"/>
    </row>
    <row r="10" spans="2:19">
      <c r="B10" s="64" t="s">
        <v>2</v>
      </c>
      <c r="C10" s="64"/>
      <c r="D10" s="64"/>
      <c r="E10" s="64"/>
      <c r="F10" s="64"/>
      <c r="G10" s="64" t="s">
        <v>100</v>
      </c>
      <c r="H10" s="64"/>
      <c r="I10" s="64"/>
      <c r="J10" s="64"/>
      <c r="K10" s="64" t="s">
        <v>101</v>
      </c>
      <c r="L10" s="64"/>
      <c r="M10" s="64"/>
      <c r="N10" s="64"/>
    </row>
    <row r="11" spans="2:19">
      <c r="B11" s="101" t="s">
        <v>45</v>
      </c>
      <c r="C11" s="101"/>
      <c r="D11" s="101"/>
      <c r="E11" s="101"/>
      <c r="F11" s="101"/>
      <c r="G11" s="99" t="s">
        <v>131</v>
      </c>
      <c r="H11" s="99"/>
      <c r="I11" s="99"/>
      <c r="J11" s="99"/>
      <c r="K11" s="101" t="s">
        <v>47</v>
      </c>
      <c r="L11" s="101"/>
      <c r="M11" s="101"/>
      <c r="N11" s="101"/>
    </row>
    <row r="12" spans="2:19">
      <c r="B12" s="101"/>
      <c r="C12" s="101"/>
      <c r="D12" s="101"/>
      <c r="E12" s="101"/>
      <c r="F12" s="101"/>
      <c r="G12" s="99"/>
      <c r="H12" s="99"/>
      <c r="I12" s="99"/>
      <c r="J12" s="99"/>
      <c r="K12" s="101"/>
      <c r="L12" s="101"/>
      <c r="M12" s="101"/>
      <c r="N12" s="101"/>
    </row>
    <row r="13" spans="2:19">
      <c r="B13" s="101"/>
      <c r="C13" s="101"/>
      <c r="D13" s="101"/>
      <c r="E13" s="101"/>
      <c r="F13" s="101"/>
      <c r="G13" s="99"/>
      <c r="H13" s="99"/>
      <c r="I13" s="99"/>
      <c r="J13" s="99"/>
      <c r="K13" s="101"/>
      <c r="L13" s="101"/>
      <c r="M13" s="101"/>
      <c r="N13" s="101"/>
    </row>
    <row r="14" spans="2:19">
      <c r="B14" s="101"/>
      <c r="C14" s="101"/>
      <c r="D14" s="101"/>
      <c r="E14" s="101"/>
      <c r="F14" s="101"/>
      <c r="G14" s="99"/>
      <c r="H14" s="99"/>
      <c r="I14" s="99"/>
      <c r="J14" s="99"/>
      <c r="K14" s="101"/>
      <c r="L14" s="101"/>
      <c r="M14" s="101"/>
      <c r="N14" s="101"/>
    </row>
    <row r="15" spans="2:19">
      <c r="B15" s="101"/>
      <c r="C15" s="101"/>
      <c r="D15" s="101"/>
      <c r="E15" s="101"/>
      <c r="F15" s="101"/>
      <c r="G15" s="99"/>
      <c r="H15" s="99"/>
      <c r="I15" s="99"/>
      <c r="J15" s="99"/>
      <c r="K15" s="101"/>
      <c r="L15" s="101"/>
      <c r="M15" s="101"/>
      <c r="N15" s="101"/>
    </row>
    <row r="16" spans="2:19">
      <c r="B16" s="64" t="s">
        <v>104</v>
      </c>
      <c r="C16" s="64"/>
      <c r="D16" s="64"/>
      <c r="E16" s="64"/>
      <c r="F16" s="64"/>
      <c r="G16" s="64" t="s">
        <v>105</v>
      </c>
      <c r="H16" s="64"/>
      <c r="I16" s="64"/>
      <c r="J16" s="64"/>
      <c r="K16" s="64" t="s">
        <v>106</v>
      </c>
      <c r="L16" s="64"/>
      <c r="M16" s="64"/>
      <c r="N16" s="64"/>
    </row>
    <row r="17" spans="2:14">
      <c r="B17" s="65">
        <v>1</v>
      </c>
      <c r="C17" s="66"/>
      <c r="D17" s="66"/>
      <c r="E17" s="66"/>
      <c r="F17" s="67"/>
      <c r="G17" s="65" t="s">
        <v>114</v>
      </c>
      <c r="H17" s="66"/>
      <c r="I17" s="66"/>
      <c r="J17" s="67"/>
      <c r="K17" s="68">
        <v>46126.504861111112</v>
      </c>
      <c r="L17" s="73"/>
      <c r="M17" s="73"/>
      <c r="N17" s="69"/>
    </row>
    <row r="18" spans="2:14">
      <c r="B18" s="74" t="s">
        <v>108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6"/>
    </row>
    <row r="19" spans="2:14">
      <c r="B19" s="77" t="s">
        <v>109</v>
      </c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9"/>
    </row>
    <row r="20" spans="2:14">
      <c r="B20" s="80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2"/>
    </row>
    <row r="21" spans="2:14">
      <c r="B21" s="80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2"/>
    </row>
    <row r="22" spans="2:14">
      <c r="B22" s="83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5"/>
    </row>
  </sheetData>
  <mergeCells count="28">
    <mergeCell ref="B17:F17"/>
    <mergeCell ref="G17:J17"/>
    <mergeCell ref="K17:N17"/>
    <mergeCell ref="B18:N18"/>
    <mergeCell ref="B19:N22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3:N3"/>
    <mergeCell ref="B4:F4"/>
    <mergeCell ref="G4:N4"/>
    <mergeCell ref="B5:F5"/>
    <mergeCell ref="G5:N5"/>
    <mergeCell ref="B8:F8"/>
    <mergeCell ref="G8:N8"/>
    <mergeCell ref="B6:F6"/>
    <mergeCell ref="G6:H6"/>
    <mergeCell ref="I6:L6"/>
    <mergeCell ref="M6:N6"/>
    <mergeCell ref="B7:F7"/>
    <mergeCell ref="G7:N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73A5-05E8-423A-A1E7-79AF885501E5}">
  <dimension ref="B3:N22"/>
  <sheetViews>
    <sheetView workbookViewId="0">
      <selection activeCell="K17" sqref="K17:N17"/>
    </sheetView>
  </sheetViews>
  <sheetFormatPr defaultRowHeight="14.4"/>
  <sheetData>
    <row r="3" spans="2:14">
      <c r="B3" s="64" t="s">
        <v>91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2:14">
      <c r="B4" s="64" t="s">
        <v>92</v>
      </c>
      <c r="C4" s="64"/>
      <c r="D4" s="64"/>
      <c r="E4" s="64"/>
      <c r="F4" s="64"/>
      <c r="G4" s="72" t="s">
        <v>129</v>
      </c>
      <c r="H4" s="72"/>
      <c r="I4" s="72"/>
      <c r="J4" s="72"/>
      <c r="K4" s="72"/>
      <c r="L4" s="72"/>
      <c r="M4" s="72"/>
      <c r="N4" s="72"/>
    </row>
    <row r="5" spans="2:14">
      <c r="B5" s="64" t="s">
        <v>94</v>
      </c>
      <c r="C5" s="64"/>
      <c r="D5" s="64"/>
      <c r="E5" s="64"/>
      <c r="F5" s="64"/>
      <c r="G5" s="65" t="s">
        <v>132</v>
      </c>
      <c r="H5" s="66"/>
      <c r="I5" s="66"/>
      <c r="J5" s="66"/>
      <c r="K5" s="66"/>
      <c r="L5" s="66"/>
      <c r="M5" s="66"/>
      <c r="N5" s="67"/>
    </row>
    <row r="6" spans="2:14">
      <c r="B6" s="64" t="s">
        <v>111</v>
      </c>
      <c r="C6" s="64"/>
      <c r="D6" s="64"/>
      <c r="E6" s="64"/>
      <c r="F6" s="64"/>
      <c r="G6" s="102" t="s">
        <v>133</v>
      </c>
      <c r="H6" s="103"/>
      <c r="I6" s="64" t="s">
        <v>96</v>
      </c>
      <c r="J6" s="64"/>
      <c r="K6" s="64"/>
      <c r="L6" s="64"/>
      <c r="M6" s="102" t="s">
        <v>62</v>
      </c>
      <c r="N6" s="103"/>
    </row>
    <row r="7" spans="2:14">
      <c r="B7" s="64" t="s">
        <v>97</v>
      </c>
      <c r="C7" s="64"/>
      <c r="D7" s="64"/>
      <c r="E7" s="64"/>
      <c r="F7" s="64"/>
      <c r="G7" s="65">
        <v>1</v>
      </c>
      <c r="H7" s="66"/>
      <c r="I7" s="66"/>
      <c r="J7" s="66"/>
      <c r="K7" s="66"/>
      <c r="L7" s="66"/>
      <c r="M7" s="66"/>
      <c r="N7" s="67"/>
    </row>
    <row r="8" spans="2:14">
      <c r="B8" s="64" t="s">
        <v>98</v>
      </c>
      <c r="C8" s="64"/>
      <c r="D8" s="64"/>
      <c r="E8" s="64"/>
      <c r="F8" s="64"/>
      <c r="G8" s="65" t="s">
        <v>134</v>
      </c>
      <c r="H8" s="66"/>
      <c r="I8" s="66"/>
      <c r="J8" s="66"/>
      <c r="K8" s="66"/>
      <c r="L8" s="66"/>
      <c r="M8" s="66"/>
      <c r="N8" s="67"/>
    </row>
    <row r="9" spans="2:14">
      <c r="B9" s="65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7"/>
    </row>
    <row r="10" spans="2:14">
      <c r="B10" s="64" t="s">
        <v>2</v>
      </c>
      <c r="C10" s="64"/>
      <c r="D10" s="64"/>
      <c r="E10" s="64"/>
      <c r="F10" s="64"/>
      <c r="G10" s="64" t="s">
        <v>100</v>
      </c>
      <c r="H10" s="64"/>
      <c r="I10" s="64"/>
      <c r="J10" s="64"/>
      <c r="K10" s="64" t="s">
        <v>101</v>
      </c>
      <c r="L10" s="64"/>
      <c r="M10" s="64"/>
      <c r="N10" s="64"/>
    </row>
    <row r="11" spans="2:14">
      <c r="B11" s="101" t="s">
        <v>59</v>
      </c>
      <c r="C11" s="101"/>
      <c r="D11" s="101"/>
      <c r="E11" s="101"/>
      <c r="F11" s="101"/>
      <c r="G11" s="99" t="s">
        <v>135</v>
      </c>
      <c r="H11" s="99"/>
      <c r="I11" s="99"/>
      <c r="J11" s="99"/>
      <c r="K11" s="101" t="s">
        <v>61</v>
      </c>
      <c r="L11" s="101"/>
      <c r="M11" s="101"/>
      <c r="N11" s="101"/>
    </row>
    <row r="12" spans="2:14">
      <c r="B12" s="101"/>
      <c r="C12" s="101"/>
      <c r="D12" s="101"/>
      <c r="E12" s="101"/>
      <c r="F12" s="101"/>
      <c r="G12" s="99"/>
      <c r="H12" s="99"/>
      <c r="I12" s="99"/>
      <c r="J12" s="99"/>
      <c r="K12" s="101"/>
      <c r="L12" s="101"/>
      <c r="M12" s="101"/>
      <c r="N12" s="101"/>
    </row>
    <row r="13" spans="2:14">
      <c r="B13" s="101"/>
      <c r="C13" s="101"/>
      <c r="D13" s="101"/>
      <c r="E13" s="101"/>
      <c r="F13" s="101"/>
      <c r="G13" s="99"/>
      <c r="H13" s="99"/>
      <c r="I13" s="99"/>
      <c r="J13" s="99"/>
      <c r="K13" s="101"/>
      <c r="L13" s="101"/>
      <c r="M13" s="101"/>
      <c r="N13" s="101"/>
    </row>
    <row r="14" spans="2:14">
      <c r="B14" s="101"/>
      <c r="C14" s="101"/>
      <c r="D14" s="101"/>
      <c r="E14" s="101"/>
      <c r="F14" s="101"/>
      <c r="G14" s="99"/>
      <c r="H14" s="99"/>
      <c r="I14" s="99"/>
      <c r="J14" s="99"/>
      <c r="K14" s="101"/>
      <c r="L14" s="101"/>
      <c r="M14" s="101"/>
      <c r="N14" s="101"/>
    </row>
    <row r="15" spans="2:14">
      <c r="B15" s="101"/>
      <c r="C15" s="101"/>
      <c r="D15" s="101"/>
      <c r="E15" s="101"/>
      <c r="F15" s="101"/>
      <c r="G15" s="99"/>
      <c r="H15" s="99"/>
      <c r="I15" s="99"/>
      <c r="J15" s="99"/>
      <c r="K15" s="101"/>
      <c r="L15" s="101"/>
      <c r="M15" s="101"/>
      <c r="N15" s="101"/>
    </row>
    <row r="16" spans="2:14">
      <c r="B16" s="64" t="s">
        <v>104</v>
      </c>
      <c r="C16" s="64"/>
      <c r="D16" s="64"/>
      <c r="E16" s="64"/>
      <c r="F16" s="64"/>
      <c r="G16" s="64" t="s">
        <v>105</v>
      </c>
      <c r="H16" s="64"/>
      <c r="I16" s="64"/>
      <c r="J16" s="64"/>
      <c r="K16" s="64" t="s">
        <v>106</v>
      </c>
      <c r="L16" s="64"/>
      <c r="M16" s="64"/>
      <c r="N16" s="64"/>
    </row>
    <row r="17" spans="2:14">
      <c r="B17" s="65">
        <v>1</v>
      </c>
      <c r="C17" s="66"/>
      <c r="D17" s="66"/>
      <c r="E17" s="66"/>
      <c r="F17" s="67"/>
      <c r="G17" s="65" t="s">
        <v>114</v>
      </c>
      <c r="H17" s="66"/>
      <c r="I17" s="66"/>
      <c r="J17" s="67"/>
      <c r="K17" s="102" t="s">
        <v>62</v>
      </c>
      <c r="L17" s="66"/>
      <c r="M17" s="66"/>
      <c r="N17" s="67"/>
    </row>
    <row r="18" spans="2:14">
      <c r="B18" s="74" t="s">
        <v>108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6"/>
    </row>
    <row r="19" spans="2:14">
      <c r="B19" s="77" t="s">
        <v>109</v>
      </c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9"/>
    </row>
    <row r="20" spans="2:14">
      <c r="B20" s="80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2"/>
    </row>
    <row r="21" spans="2:14">
      <c r="B21" s="80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2"/>
    </row>
    <row r="22" spans="2:14">
      <c r="B22" s="83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5"/>
    </row>
  </sheetData>
  <mergeCells count="28">
    <mergeCell ref="B17:F17"/>
    <mergeCell ref="G17:J17"/>
    <mergeCell ref="K17:N17"/>
    <mergeCell ref="B18:N18"/>
    <mergeCell ref="B19:N22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3:N3"/>
    <mergeCell ref="B4:F4"/>
    <mergeCell ref="G4:N4"/>
    <mergeCell ref="B5:F5"/>
    <mergeCell ref="G5:N5"/>
    <mergeCell ref="B8:F8"/>
    <mergeCell ref="G8:N8"/>
    <mergeCell ref="B6:F6"/>
    <mergeCell ref="G6:H6"/>
    <mergeCell ref="I6:L6"/>
    <mergeCell ref="M6:N6"/>
    <mergeCell ref="B7:F7"/>
    <mergeCell ref="G7:N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E646-BF2C-4EA7-9094-CDE5F8CFB6DA}">
  <dimension ref="B3:N22"/>
  <sheetViews>
    <sheetView workbookViewId="0">
      <selection activeCell="K17" sqref="K17:N17"/>
    </sheetView>
  </sheetViews>
  <sheetFormatPr defaultRowHeight="14.4"/>
  <sheetData>
    <row r="3" spans="2:14">
      <c r="B3" s="64" t="s">
        <v>91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2:14">
      <c r="B4" s="64" t="s">
        <v>92</v>
      </c>
      <c r="C4" s="64"/>
      <c r="D4" s="64"/>
      <c r="E4" s="64"/>
      <c r="F4" s="64"/>
      <c r="G4" s="72" t="s">
        <v>116</v>
      </c>
      <c r="H4" s="72"/>
      <c r="I4" s="72"/>
      <c r="J4" s="72"/>
      <c r="K4" s="72"/>
      <c r="L4" s="72"/>
      <c r="M4" s="72"/>
      <c r="N4" s="72"/>
    </row>
    <row r="5" spans="2:14">
      <c r="B5" s="64" t="s">
        <v>94</v>
      </c>
      <c r="C5" s="64"/>
      <c r="D5" s="64"/>
      <c r="E5" s="64"/>
      <c r="F5" s="64"/>
      <c r="G5" s="65" t="s">
        <v>110</v>
      </c>
      <c r="H5" s="66"/>
      <c r="I5" s="66"/>
      <c r="J5" s="66"/>
      <c r="K5" s="66"/>
      <c r="L5" s="66"/>
      <c r="M5" s="66"/>
      <c r="N5" s="67"/>
    </row>
    <row r="6" spans="2:14">
      <c r="B6" s="64" t="s">
        <v>111</v>
      </c>
      <c r="C6" s="64"/>
      <c r="D6" s="64"/>
      <c r="E6" s="64"/>
      <c r="F6" s="64"/>
      <c r="G6" s="104">
        <v>46122.506249999999</v>
      </c>
      <c r="H6" s="104"/>
      <c r="I6" s="64" t="s">
        <v>136</v>
      </c>
      <c r="J6" s="64"/>
      <c r="K6" s="64"/>
      <c r="L6" s="64"/>
      <c r="M6" s="104">
        <v>46122.546527777777</v>
      </c>
      <c r="N6" s="104"/>
    </row>
    <row r="7" spans="2:14">
      <c r="B7" s="64" t="s">
        <v>97</v>
      </c>
      <c r="C7" s="64"/>
      <c r="D7" s="64"/>
      <c r="E7" s="64"/>
      <c r="F7" s="64"/>
      <c r="G7" s="65">
        <v>1</v>
      </c>
      <c r="H7" s="66"/>
      <c r="I7" s="66"/>
      <c r="J7" s="66"/>
      <c r="K7" s="66"/>
      <c r="L7" s="66"/>
      <c r="M7" s="66"/>
      <c r="N7" s="67"/>
    </row>
    <row r="8" spans="2:14">
      <c r="B8" s="64" t="s">
        <v>98</v>
      </c>
      <c r="C8" s="64"/>
      <c r="D8" s="64"/>
      <c r="E8" s="64"/>
      <c r="F8" s="64"/>
      <c r="G8" s="65" t="s">
        <v>127</v>
      </c>
      <c r="H8" s="66"/>
      <c r="I8" s="66"/>
      <c r="J8" s="66"/>
      <c r="K8" s="66"/>
      <c r="L8" s="66"/>
      <c r="M8" s="66"/>
      <c r="N8" s="67"/>
    </row>
    <row r="9" spans="2:14">
      <c r="B9" s="65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7"/>
    </row>
    <row r="10" spans="2:14">
      <c r="B10" s="64" t="s">
        <v>2</v>
      </c>
      <c r="C10" s="64"/>
      <c r="D10" s="64"/>
      <c r="E10" s="64"/>
      <c r="F10" s="64"/>
      <c r="G10" s="64" t="s">
        <v>100</v>
      </c>
      <c r="H10" s="64"/>
      <c r="I10" s="64"/>
      <c r="J10" s="64"/>
      <c r="K10" s="64" t="s">
        <v>101</v>
      </c>
      <c r="L10" s="64"/>
      <c r="M10" s="64"/>
      <c r="N10" s="64"/>
    </row>
    <row r="11" spans="2:14">
      <c r="B11" s="101" t="s">
        <v>63</v>
      </c>
      <c r="C11" s="101"/>
      <c r="D11" s="101"/>
      <c r="E11" s="101"/>
      <c r="F11" s="101"/>
      <c r="G11" s="99" t="s">
        <v>135</v>
      </c>
      <c r="H11" s="99"/>
      <c r="I11" s="99"/>
      <c r="J11" s="99"/>
      <c r="K11" s="71" t="s">
        <v>64</v>
      </c>
      <c r="L11" s="71"/>
      <c r="M11" s="71"/>
      <c r="N11" s="71"/>
    </row>
    <row r="12" spans="2:14">
      <c r="B12" s="101"/>
      <c r="C12" s="101"/>
      <c r="D12" s="101"/>
      <c r="E12" s="101"/>
      <c r="F12" s="101"/>
      <c r="G12" s="99"/>
      <c r="H12" s="99"/>
      <c r="I12" s="99"/>
      <c r="J12" s="99"/>
      <c r="K12" s="71"/>
      <c r="L12" s="71"/>
      <c r="M12" s="71"/>
      <c r="N12" s="71"/>
    </row>
    <row r="13" spans="2:14">
      <c r="B13" s="101"/>
      <c r="C13" s="101"/>
      <c r="D13" s="101"/>
      <c r="E13" s="101"/>
      <c r="F13" s="101"/>
      <c r="G13" s="99"/>
      <c r="H13" s="99"/>
      <c r="I13" s="99"/>
      <c r="J13" s="99"/>
      <c r="K13" s="71"/>
      <c r="L13" s="71"/>
      <c r="M13" s="71"/>
      <c r="N13" s="71"/>
    </row>
    <row r="14" spans="2:14">
      <c r="B14" s="101"/>
      <c r="C14" s="101"/>
      <c r="D14" s="101"/>
      <c r="E14" s="101"/>
      <c r="F14" s="101"/>
      <c r="G14" s="99"/>
      <c r="H14" s="99"/>
      <c r="I14" s="99"/>
      <c r="J14" s="99"/>
      <c r="K14" s="71"/>
      <c r="L14" s="71"/>
      <c r="M14" s="71"/>
      <c r="N14" s="71"/>
    </row>
    <row r="15" spans="2:14">
      <c r="B15" s="101"/>
      <c r="C15" s="101"/>
      <c r="D15" s="101"/>
      <c r="E15" s="101"/>
      <c r="F15" s="101"/>
      <c r="G15" s="99"/>
      <c r="H15" s="99"/>
      <c r="I15" s="99"/>
      <c r="J15" s="99"/>
      <c r="K15" s="71"/>
      <c r="L15" s="71"/>
      <c r="M15" s="71"/>
      <c r="N15" s="71"/>
    </row>
    <row r="16" spans="2:14">
      <c r="B16" s="64" t="s">
        <v>104</v>
      </c>
      <c r="C16" s="64"/>
      <c r="D16" s="64"/>
      <c r="E16" s="64"/>
      <c r="F16" s="64"/>
      <c r="G16" s="64" t="s">
        <v>105</v>
      </c>
      <c r="H16" s="64"/>
      <c r="I16" s="64"/>
      <c r="J16" s="64"/>
      <c r="K16" s="64" t="s">
        <v>106</v>
      </c>
      <c r="L16" s="64"/>
      <c r="M16" s="64"/>
      <c r="N16" s="64"/>
    </row>
    <row r="17" spans="2:14">
      <c r="B17" s="65">
        <v>1</v>
      </c>
      <c r="C17" s="66"/>
      <c r="D17" s="66"/>
      <c r="E17" s="66"/>
      <c r="F17" s="67"/>
      <c r="G17" s="65" t="s">
        <v>114</v>
      </c>
      <c r="H17" s="66"/>
      <c r="I17" s="66"/>
      <c r="J17" s="67"/>
      <c r="K17" s="105">
        <v>46122.546527777777</v>
      </c>
      <c r="L17" s="106"/>
      <c r="M17" s="106"/>
      <c r="N17" s="107"/>
    </row>
    <row r="18" spans="2:14">
      <c r="B18" s="74" t="s">
        <v>108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6"/>
    </row>
    <row r="19" spans="2:14">
      <c r="B19" s="77" t="s">
        <v>109</v>
      </c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9"/>
    </row>
    <row r="20" spans="2:14">
      <c r="B20" s="80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2"/>
    </row>
    <row r="21" spans="2:14">
      <c r="B21" s="80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2"/>
    </row>
    <row r="22" spans="2:14">
      <c r="B22" s="83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5"/>
    </row>
  </sheetData>
  <mergeCells count="28">
    <mergeCell ref="B17:F17"/>
    <mergeCell ref="G17:J17"/>
    <mergeCell ref="K17:N17"/>
    <mergeCell ref="B18:N18"/>
    <mergeCell ref="B19:N22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3:N3"/>
    <mergeCell ref="B4:F4"/>
    <mergeCell ref="G4:N4"/>
    <mergeCell ref="B5:F5"/>
    <mergeCell ref="G5:N5"/>
    <mergeCell ref="B8:F8"/>
    <mergeCell ref="G8:N8"/>
    <mergeCell ref="B6:F6"/>
    <mergeCell ref="G6:H6"/>
    <mergeCell ref="I6:L6"/>
    <mergeCell ref="M6:N6"/>
    <mergeCell ref="B7:F7"/>
    <mergeCell ref="G7:N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CHECKLIST V1.0</vt:lpstr>
      <vt:lpstr>EMAIL_NAO_CONFORMIDADE(1)</vt:lpstr>
      <vt:lpstr>EMAIL_NAO_CONFORMIDADE (2)</vt:lpstr>
      <vt:lpstr>EMAIL_NAO_CONFORMIDADE (3)</vt:lpstr>
      <vt:lpstr>EMAIL_NAO_CONFORMIDADE (4)</vt:lpstr>
      <vt:lpstr>EMAIL_NAO_CONFORMIDADE (5)</vt:lpstr>
      <vt:lpstr>EMAIL_NAO_CONFORMIDADE (6)</vt:lpstr>
      <vt:lpstr>EMAIL_NAO_CONFORMIDADE (7)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Vieira Domingues</dc:creator>
  <cp:keywords/>
  <dc:description/>
  <cp:lastModifiedBy>Mateus Vieira Domingues</cp:lastModifiedBy>
  <cp:revision/>
  <dcterms:created xsi:type="dcterms:W3CDTF">2026-03-18T13:15:00Z</dcterms:created>
  <dcterms:modified xsi:type="dcterms:W3CDTF">2026-04-14T15:18:22Z</dcterms:modified>
  <cp:category/>
  <cp:contentStatus/>
</cp:coreProperties>
</file>